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KiCad\desings\4_DMX node\BOMs\"/>
    </mc:Choice>
  </mc:AlternateContent>
  <xr:revisionPtr revIDLastSave="0" documentId="13_ncr:1_{1372D22A-C904-4495-93E3-8CAF3AB35CBA}" xr6:coauthVersionLast="47" xr6:coauthVersionMax="47" xr10:uidLastSave="{00000000-0000-0000-0000-000000000000}"/>
  <bookViews>
    <workbookView xWindow="-120" yWindow="-120" windowWidth="51840" windowHeight="21120" xr2:uid="{9B84EF14-36DD-40E4-AAD2-543AD15C4A8A}"/>
  </bookViews>
  <sheets>
    <sheet name="ORDER" sheetId="1" r:id="rId1"/>
    <sheet name="Display panel" sheetId="4" r:id="rId2"/>
    <sheet name="Artnet_DMX_Converter" sheetId="2" r:id="rId3"/>
    <sheet name="WIFI Module" sheetId="5" r:id="rId4"/>
  </sheets>
  <definedNames>
    <definedName name="ExternalData_1" localSheetId="2" hidden="1">Artnet_DMX_Converter!$A$1:$I$75</definedName>
    <definedName name="ExternalData_1" localSheetId="0" hidden="1">ORDER!$A$1:$I$75</definedName>
    <definedName name="ExternalData_2" localSheetId="1" hidden="1">'Display panel'!$A$1:$G$10</definedName>
    <definedName name="ExternalData_3" localSheetId="0" hidden="1">ORDER!$A$78:$G$87</definedName>
    <definedName name="ExternalData_4" localSheetId="0" hidden="1">ORDER!$A$90:$H$101</definedName>
    <definedName name="ExternalData_4" localSheetId="3" hidden="1">'WIFI Module'!$A$1:$H$12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8" i="1" l="1"/>
  <c r="R122" i="1"/>
  <c r="H106" i="1"/>
  <c r="H92" i="1"/>
  <c r="H93" i="1"/>
  <c r="H94" i="1"/>
  <c r="H95" i="1"/>
  <c r="H96" i="1"/>
  <c r="H97" i="1"/>
  <c r="H98" i="1"/>
  <c r="H99" i="1"/>
  <c r="H100" i="1"/>
  <c r="H101" i="1"/>
  <c r="H91" i="1"/>
  <c r="H86" i="1"/>
  <c r="H85" i="1"/>
  <c r="H83" i="1"/>
  <c r="H81" i="1"/>
  <c r="H79" i="1"/>
  <c r="H87" i="1"/>
  <c r="H84" i="1"/>
  <c r="H80" i="1"/>
  <c r="H82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DDA28-49F2-4ED5-9215-7C1E79302B28}" keepAlive="1" name="Query - Artnet_DMX_Converter" description="Connection to the 'Artnet_DMX_Converter' query in the workbook." type="5" refreshedVersion="8" background="1" saveData="1">
    <dbPr connection="Provider=Microsoft.Mashup.OleDb.1;Data Source=$Workbook$;Location=Artnet_DMX_Converter;Extended Properties=&quot;&quot;" command="SELECT * FROM [Artnet_DMX_Converter]"/>
  </connection>
  <connection id="2" xr16:uid="{FB913331-3305-4053-9FB0-0824EEE63AD6}" keepAlive="1" name="Query - Artnet_DMX_Converter (2)" description="Connection to the 'Artnet_DMX_Converter (2)' query in the workbook." type="5" refreshedVersion="8" background="1" saveData="1">
    <dbPr connection="Provider=Microsoft.Mashup.OleDb.1;Data Source=$Workbook$;Location=&quot;Artnet_DMX_Converter (2)&quot;;Extended Properties=&quot;&quot;" command="SELECT * FROM [Artnet_DMX_Converter (2)]"/>
  </connection>
  <connection id="3" xr16:uid="{285F64EF-CFEB-4518-B975-4A9A3DED87D8}" keepAlive="1" name="Query - Display panel" description="Connection to the 'Display panel' query in the workbook." type="5" refreshedVersion="8" background="1" saveData="1">
    <dbPr connection="Provider=Microsoft.Mashup.OleDb.1;Data Source=$Workbook$;Location=&quot;Display panel&quot;;Extended Properties=&quot;&quot;" command="SELECT * FROM [Display panel]"/>
  </connection>
  <connection id="4" xr16:uid="{AE146B21-1DD6-47D8-8AA6-18141254564C}" keepAlive="1" name="Query - Display panel (2)" description="Connection to the 'Display panel (2)' query in the workbook." type="5" refreshedVersion="8" background="1" saveData="1">
    <dbPr connection="Provider=Microsoft.Mashup.OleDb.1;Data Source=$Workbook$;Location=&quot;Display panel (2)&quot;;Extended Properties=&quot;&quot;" command="SELECT * FROM [Display panel (2)]"/>
  </connection>
  <connection id="5" xr16:uid="{04BFE4D3-C059-4FE2-A1FF-2C03AAC684B6}" keepAlive="1" name="Query - WIFI Module" description="Connection to the 'WIFI Module' query in the workbook." type="5" refreshedVersion="8" background="1" saveData="1">
    <dbPr connection="Provider=Microsoft.Mashup.OleDb.1;Data Source=$Workbook$;Location=&quot;WIFI Module&quot;;Extended Properties=&quot;&quot;" command="SELECT * FROM [WIFI Module]"/>
  </connection>
  <connection id="6" xr16:uid="{3AA14046-BDA2-4980-ABEB-EBE7F6845C21}" keepAlive="1" name="Query - WIFI Module (2)" description="Connection to the 'WIFI Module (2)' query in the workbook." type="5" refreshedVersion="8" background="1" saveData="1">
    <dbPr connection="Provider=Microsoft.Mashup.OleDb.1;Data Source=$Workbook$;Location=&quot;WIFI Module (2)&quot;;Extended Properties=&quot;&quot;" command="SELECT * FROM [WIFI Module (2)]"/>
  </connection>
</connections>
</file>

<file path=xl/sharedStrings.xml><?xml version="1.0" encoding="utf-8"?>
<sst xmlns="http://schemas.openxmlformats.org/spreadsheetml/2006/main" count="2055" uniqueCount="663">
  <si>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</si>
  <si>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</si>
  <si>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</si>
  <si>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</si>
  <si>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</si>
  <si>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</si>
  <si>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</si>
  <si>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</si>
  <si>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J3</t>
  </si>
  <si>
    <t>NE8FAHLRDAE</t>
  </si>
  <si>
    <t>RJ45</t>
  </si>
  <si>
    <t/>
  </si>
  <si>
    <t>R18</t>
  </si>
  <si>
    <t>R_0603_1608Metric</t>
  </si>
  <si>
    <t>10R</t>
  </si>
  <si>
    <t>C2</t>
  </si>
  <si>
    <t>C_0402_1005Metric</t>
  </si>
  <si>
    <t>4u7</t>
  </si>
  <si>
    <t>R29,R38,R28,R30,R39,R31,R36,R37</t>
  </si>
  <si>
    <t>348R</t>
  </si>
  <si>
    <t>C27,C76,C72,C70,C73,C64,C79,C60,C28,C74,C29,C88,C43,C78,C61,C71,C30,C66,C69,C68,C25,C42,C75,C67,C45,C31,C18,C26,C77</t>
  </si>
  <si>
    <t>C_0603_1608Metric</t>
  </si>
  <si>
    <t>100n</t>
  </si>
  <si>
    <t>C12,C7,C5,C13,C11,C4,C6,C3,C9,C10,C8,C1</t>
  </si>
  <si>
    <t>R5,R4</t>
  </si>
  <si>
    <t>R_0402_1005Metric</t>
  </si>
  <si>
    <t>27R</t>
  </si>
  <si>
    <t>C48,C49</t>
  </si>
  <si>
    <t>10p</t>
  </si>
  <si>
    <t>C20,C23,C57,C33,C21</t>
  </si>
  <si>
    <t>10n</t>
  </si>
  <si>
    <t>C80,C81</t>
  </si>
  <si>
    <t>1u</t>
  </si>
  <si>
    <t>D13</t>
  </si>
  <si>
    <t>LED-SMD_4P-L1.6-W1.5-TR</t>
  </si>
  <si>
    <t>LED_ABGR</t>
  </si>
  <si>
    <t>J4,J8,J10,J6</t>
  </si>
  <si>
    <t>NC5FAH1-LR-DAE</t>
  </si>
  <si>
    <t>XLR5</t>
  </si>
  <si>
    <t>J2</t>
  </si>
  <si>
    <t>USB-C_SMD-TYPE-C-31-M-12_1</t>
  </si>
  <si>
    <t>USB_C_Receptacle_USB2.0_14P</t>
  </si>
  <si>
    <t>C58</t>
  </si>
  <si>
    <t>C22,C36,C39,C41,C34,C38,C63,C37,C65,C47,C40,C35</t>
  </si>
  <si>
    <t>1n</t>
  </si>
  <si>
    <t>LED1,LED5,LED6,LED3,LED8,LED10,LED9,LED2,LED4,LED7</t>
  </si>
  <si>
    <t>LED-SMD_4P-L1.5-W1.5-BL</t>
  </si>
  <si>
    <t>SK6805-EC15</t>
  </si>
  <si>
    <t>BT1</t>
  </si>
  <si>
    <t>JST_XH_B3B-XH-A_1x03_P2.50mm_Vertical</t>
  </si>
  <si>
    <t>Battery_Cell</t>
  </si>
  <si>
    <t>SW2,SW1</t>
  </si>
  <si>
    <t>SW_SPST_B3U-1000P</t>
  </si>
  <si>
    <t>SW_Push</t>
  </si>
  <si>
    <t>R13,R12,R15,R14</t>
  </si>
  <si>
    <t>33R</t>
  </si>
  <si>
    <t>C59</t>
  </si>
  <si>
    <t>3.3n</t>
  </si>
  <si>
    <t>L1</t>
  </si>
  <si>
    <t>IND-SMD_L2.0-W1.6_AOTA-B201610S3R3-101-T</t>
  </si>
  <si>
    <t>3.3u</t>
  </si>
  <si>
    <t>L3</t>
  </si>
  <si>
    <t>XFMR-SMD_16P-L12.7-W7.1-P1.27-LS9.4-BL</t>
  </si>
  <si>
    <t>H2019NLT</t>
  </si>
  <si>
    <t>Y2</t>
  </si>
  <si>
    <t>Crystal_SMD_3225-4Pin_3.2x2.5mm</t>
  </si>
  <si>
    <t>ABM8-25.000MHZ-10-D1G-T</t>
  </si>
  <si>
    <t>R21</t>
  </si>
  <si>
    <t>2.05k</t>
  </si>
  <si>
    <t>U12</t>
  </si>
  <si>
    <t>SOT-363_SC-70-6</t>
  </si>
  <si>
    <t>TXS0101DCK</t>
  </si>
  <si>
    <t>R33,R32,R35,R34</t>
  </si>
  <si>
    <t>133R</t>
  </si>
  <si>
    <t>U3</t>
  </si>
  <si>
    <t>SOT-23-6</t>
  </si>
  <si>
    <t>USBLC6-2SC6</t>
  </si>
  <si>
    <t>D2,D7,D5,D6,D9,D3,D4,D8</t>
  </si>
  <si>
    <t>D_SOD-123F</t>
  </si>
  <si>
    <t>SL110PL-TP</t>
  </si>
  <si>
    <t>R1,R27,R3</t>
  </si>
  <si>
    <t>1k</t>
  </si>
  <si>
    <t>L4,L5</t>
  </si>
  <si>
    <t>L_0805_2012Metric</t>
  </si>
  <si>
    <t>2u2</t>
  </si>
  <si>
    <t>U10,U8,U9,U11</t>
  </si>
  <si>
    <t>SOIC-8_3.9x4.9mm_P1.27mm</t>
  </si>
  <si>
    <t>MAX3485</t>
  </si>
  <si>
    <t>D1</t>
  </si>
  <si>
    <t>DSK24L</t>
  </si>
  <si>
    <t>J1</t>
  </si>
  <si>
    <t>JST_SH_SM03B-SRSS-TB_1x03-1MP_P1.00mm_Horizontal</t>
  </si>
  <si>
    <t>Conn_01x03_MountingPin</t>
  </si>
  <si>
    <t>R11,R43,R7,R42</t>
  </si>
  <si>
    <t>10k</t>
  </si>
  <si>
    <t>U7</t>
  </si>
  <si>
    <t>TSOT-23</t>
  </si>
  <si>
    <t>TLV431</t>
  </si>
  <si>
    <t>RN1,RN2</t>
  </si>
  <si>
    <t>R_Array_Concave_4x0603</t>
  </si>
  <si>
    <t>75R</t>
  </si>
  <si>
    <t>C17,C19</t>
  </si>
  <si>
    <t>15p</t>
  </si>
  <si>
    <t>R16</t>
  </si>
  <si>
    <t>1M</t>
  </si>
  <si>
    <t>J12</t>
  </si>
  <si>
    <t>IDC-Header_2x06_P2.54mm_Vertical</t>
  </si>
  <si>
    <t>IDC</t>
  </si>
  <si>
    <t>Y1</t>
  </si>
  <si>
    <t>ABM8-272-T3</t>
  </si>
  <si>
    <t>C52,C51,C50</t>
  </si>
  <si>
    <t>C_0805_2012Metric</t>
  </si>
  <si>
    <t>C62</t>
  </si>
  <si>
    <t>15n</t>
  </si>
  <si>
    <t>U1</t>
  </si>
  <si>
    <t>QFN-80-1EP_10x10mm_P0.4mm_EP3.4x3.4mm</t>
  </si>
  <si>
    <t>RP2350B</t>
  </si>
  <si>
    <t>C55</t>
  </si>
  <si>
    <t>CP_Elec_10x10.5</t>
  </si>
  <si>
    <t>1000u</t>
  </si>
  <si>
    <t>REF**,REF**,REF**</t>
  </si>
  <si>
    <t>NLR-LB</t>
  </si>
  <si>
    <t>0R</t>
  </si>
  <si>
    <t>J7,J11,J5,J9</t>
  </si>
  <si>
    <t>NC3FAH2-LR-DAE</t>
  </si>
  <si>
    <t>XLR3</t>
  </si>
  <si>
    <t>L2</t>
  </si>
  <si>
    <t>L_Vishay_IHLP-1616</t>
  </si>
  <si>
    <t>D11</t>
  </si>
  <si>
    <t>D_SOD-123</t>
  </si>
  <si>
    <t>1N4148W</t>
  </si>
  <si>
    <t>C46,C44</t>
  </si>
  <si>
    <t>6.8n</t>
  </si>
  <si>
    <t>J13</t>
  </si>
  <si>
    <t>PinSocket_2x04_P2.54mm_Vertical</t>
  </si>
  <si>
    <t>Conn_02x04</t>
  </si>
  <si>
    <t>C56</t>
  </si>
  <si>
    <t>C_1206_3216Metric</t>
  </si>
  <si>
    <t>100u</t>
  </si>
  <si>
    <t>C82,C86,C87,C83,C84</t>
  </si>
  <si>
    <t>10u</t>
  </si>
  <si>
    <t>R2</t>
  </si>
  <si>
    <t>430k</t>
  </si>
  <si>
    <t>R24</t>
  </si>
  <si>
    <t>36.5k</t>
  </si>
  <si>
    <t>D10</t>
  </si>
  <si>
    <t>D_SMA</t>
  </si>
  <si>
    <t>SS34</t>
  </si>
  <si>
    <t>C53</t>
  </si>
  <si>
    <t>CP_Elec_6.3x5.8</t>
  </si>
  <si>
    <t>C85</t>
  </si>
  <si>
    <t>RN3</t>
  </si>
  <si>
    <t>U4</t>
  </si>
  <si>
    <t>LQFP-48_7x7mm_P0.5mm</t>
  </si>
  <si>
    <t>W5500</t>
  </si>
  <si>
    <t>IC1</t>
  </si>
  <si>
    <t>QFN-32-1EP_5x5mm_P0.5mm_EP3.45x3.45mm_ThermalVias</t>
  </si>
  <si>
    <t>NPM1300-QEAA-R7</t>
  </si>
  <si>
    <t>C32,C24</t>
  </si>
  <si>
    <t>CP_EIA-2012-12_Kemet-R</t>
  </si>
  <si>
    <t>R6</t>
  </si>
  <si>
    <t>T1</t>
  </si>
  <si>
    <t>FA2924ALD</t>
  </si>
  <si>
    <t>FA2805</t>
  </si>
  <si>
    <t>D12</t>
  </si>
  <si>
    <t>DFTL30A</t>
  </si>
  <si>
    <t>R26</t>
  </si>
  <si>
    <t>24.9k</t>
  </si>
  <si>
    <t>R25</t>
  </si>
  <si>
    <t>12.1k</t>
  </si>
  <si>
    <t>C54</t>
  </si>
  <si>
    <t>470p</t>
  </si>
  <si>
    <t>U2</t>
  </si>
  <si>
    <t>SOIC-8_5.3x5.3mm_P1.27mm</t>
  </si>
  <si>
    <t>W25Q128JVS</t>
  </si>
  <si>
    <t>U5</t>
  </si>
  <si>
    <t>SMDIP-4_W9.53mm_Clearance8mm</t>
  </si>
  <si>
    <t>VO618A-3X019T</t>
  </si>
  <si>
    <t>R19</t>
  </si>
  <si>
    <t>12.4k</t>
  </si>
  <si>
    <t>R20</t>
  </si>
  <si>
    <t>4.99k</t>
  </si>
  <si>
    <t>U6</t>
  </si>
  <si>
    <t>QFN-20_L5.0-W5.0-P0.80-TL-EP2.8</t>
  </si>
  <si>
    <t>SI3402-B-GMR</t>
  </si>
  <si>
    <t>Needed quantity</t>
  </si>
  <si>
    <t>x</t>
  </si>
  <si>
    <t>SMD</t>
  </si>
  <si>
    <t>R41</t>
  </si>
  <si>
    <t>C2,C15,C16,C14</t>
  </si>
  <si>
    <t>R22,R40,R23,R17,R8</t>
  </si>
  <si>
    <t>Column12</t>
  </si>
  <si>
    <t>Column13</t>
  </si>
  <si>
    <t>Column14</t>
  </si>
  <si>
    <t>Flatcable</t>
  </si>
  <si>
    <t>X</t>
  </si>
  <si>
    <t>SW2</t>
  </si>
  <si>
    <t>RotaryEncoder_Alps_EC11E-Switch_Vertical_H20mm</t>
  </si>
  <si>
    <t>EC11E18244AU</t>
  </si>
  <si>
    <t>R2,R4,R3</t>
  </si>
  <si>
    <t>Q2</t>
  </si>
  <si>
    <t>SOT-23</t>
  </si>
  <si>
    <t>BSS138</t>
  </si>
  <si>
    <t>FPC-SMD_5034801200</t>
  </si>
  <si>
    <t>Conn_01x12_MountingPin</t>
  </si>
  <si>
    <t>C1</t>
  </si>
  <si>
    <t>APX803S-31SA-7</t>
  </si>
  <si>
    <t>R1</t>
  </si>
  <si>
    <t>C2,C4,C5,C3,C6</t>
  </si>
  <si>
    <t>TP2,TP1</t>
  </si>
  <si>
    <t>TestPoint_Pad_D1.0mm</t>
  </si>
  <si>
    <t>TestPoint</t>
  </si>
  <si>
    <t>L_0402_1005Metric</t>
  </si>
  <si>
    <t>2n</t>
  </si>
  <si>
    <t>C7,C8</t>
  </si>
  <si>
    <t>3p</t>
  </si>
  <si>
    <t>C10,C9</t>
  </si>
  <si>
    <t>14p</t>
  </si>
  <si>
    <t>QFN-24-1EP_4x4mm_P0.5mm_EP2.8x2.8mm</t>
  </si>
  <si>
    <t>ESP8684</t>
  </si>
  <si>
    <t>U.FL_Molex_MCRF_73412-0110_Vertical</t>
  </si>
  <si>
    <t>Conn_01x01_Shielded</t>
  </si>
  <si>
    <t>Crystal_SMD_SeikoEpson_FA128-4Pin_2.0x1.6mm</t>
  </si>
  <si>
    <t>Q22FA12800230</t>
  </si>
  <si>
    <t>PinHeader_2x04_P2.54mm_Vertical</t>
  </si>
  <si>
    <t>LCSC</t>
  </si>
  <si>
    <t>MOUSER</t>
  </si>
  <si>
    <t>IDC interconnect cable</t>
  </si>
  <si>
    <t>2 Inch 240x320 lcd display</t>
  </si>
  <si>
    <t>B3B-XH-A(LF)(SN)</t>
  </si>
  <si>
    <t>JST</t>
  </si>
  <si>
    <t>C144394</t>
  </si>
  <si>
    <t>Through Hole,P=2.5mm</t>
  </si>
  <si>
    <t>In Stock</t>
  </si>
  <si>
    <t>Connector Header 3 position 2.5mm Pitch 3A Through Hole -25℃~+85℃</t>
  </si>
  <si>
    <t>Exact Matches</t>
  </si>
  <si>
    <t>https://www.lcsc.com/product-detail/C144394.html</t>
  </si>
  <si>
    <t>CL05B104KO5NNNC</t>
  </si>
  <si>
    <t>Samsung Electro-Mechanics</t>
  </si>
  <si>
    <t>C1525</t>
  </si>
  <si>
    <t>100nF ±10% 16V Ceramic Capacitor X7R 0402</t>
  </si>
  <si>
    <t>https://www.lcsc.com/product-detail/C1525.html</t>
  </si>
  <si>
    <t>CL05C150JB5NNNC</t>
  </si>
  <si>
    <t>C86285</t>
  </si>
  <si>
    <t>15pF ±5% 50V Ceramic Capacitor C0G 0402</t>
  </si>
  <si>
    <t>https://www.lcsc.com/product-detail/C86285.html</t>
  </si>
  <si>
    <t>CL05A475KP5NRNC</t>
  </si>
  <si>
    <t>C368809</t>
  </si>
  <si>
    <t>4.7uF ±10% 10V Ceramic Capacitor X5R 0402</t>
  </si>
  <si>
    <t>https://www.lcsc.com/product-detail/C368809.html</t>
  </si>
  <si>
    <t>CL10B682KB8NNNC</t>
  </si>
  <si>
    <t>C84723</t>
  </si>
  <si>
    <t>6.8nF ±10% 50V Ceramic Capacitor X7R 0603</t>
  </si>
  <si>
    <t>https://www.lcsc.com/product-detail/C84723.html</t>
  </si>
  <si>
    <t>CL10C100JB8NNNC</t>
  </si>
  <si>
    <t>C1634</t>
  </si>
  <si>
    <t>10pF ±5% 50V Ceramic Capacitor C0G 0603</t>
  </si>
  <si>
    <t>https://www.lcsc.com/product-detail/C1634.html</t>
  </si>
  <si>
    <t>CL10B471KB8NNNC</t>
  </si>
  <si>
    <t>C22396</t>
  </si>
  <si>
    <t>470pF ±10% 50V Ceramic Capacitor X7R 0603</t>
  </si>
  <si>
    <t>https://www.lcsc.com/product-detail/C22396.html</t>
  </si>
  <si>
    <t>CL31A107MQHNNNE</t>
  </si>
  <si>
    <t>C15008</t>
  </si>
  <si>
    <t>100uF ±20% 6.3V Ceramic Capacitor X5R 1206</t>
  </si>
  <si>
    <t>https://www.lcsc.com/product-detail/C15008.html</t>
  </si>
  <si>
    <t>CL10A475KP8NNNC</t>
  </si>
  <si>
    <t>C1705</t>
  </si>
  <si>
    <t>4.7uF ±10% 10V Ceramic Capacitor X5R 0603</t>
  </si>
  <si>
    <t>https://www.lcsc.com/product-detail/C1705.html</t>
  </si>
  <si>
    <t>CL10B332KB8NNNC</t>
  </si>
  <si>
    <t>C1613</t>
  </si>
  <si>
    <t>3.3nF ±10% 50V Ceramic Capacitor X7R 0603</t>
  </si>
  <si>
    <t>https://www.lcsc.com/product-detail/C1613.html</t>
  </si>
  <si>
    <t>CL10B153KB8NNNC</t>
  </si>
  <si>
    <t>C296713</t>
  </si>
  <si>
    <t>15nF ±10% 50V Ceramic Capacitor X7R 0603</t>
  </si>
  <si>
    <t>https://www.lcsc.com/product-detail/C296713.html</t>
  </si>
  <si>
    <t>CL10A105KB8NNNC</t>
  </si>
  <si>
    <t>C15849</t>
  </si>
  <si>
    <t>1uF ±10% 50V Ceramic Capacitor X5R 0603</t>
  </si>
  <si>
    <t>https://www.lcsc.com/product-detail/C15849.html</t>
  </si>
  <si>
    <t>CL10A106KP8NNNC</t>
  </si>
  <si>
    <t>C19702</t>
  </si>
  <si>
    <t>10uF ±10% 10V Ceramic Capacitor X5R 0603</t>
  </si>
  <si>
    <t>https://www.lcsc.com/product-detail/C19702.html</t>
  </si>
  <si>
    <t>CL10A225KO8NNNC</t>
  </si>
  <si>
    <t>C23630</t>
  </si>
  <si>
    <t>2.2uF ±10% 16V Ceramic Capacitor X5R 0603</t>
  </si>
  <si>
    <t>https://www.lcsc.com/product-detail/C23630.html</t>
  </si>
  <si>
    <t>CL10B104KC8NNNC</t>
  </si>
  <si>
    <t>C15725</t>
  </si>
  <si>
    <t>100nF ±10% 100V Ceramic Capacitor X7R 0603</t>
  </si>
  <si>
    <t>https://www.lcsc.com/product-detail/C15725.html</t>
  </si>
  <si>
    <t>C2012X7S2A105KT000N</t>
  </si>
  <si>
    <t>TDK</t>
  </si>
  <si>
    <t>C342785</t>
  </si>
  <si>
    <t>1uF ±10% 100V Ceramic Capacitor X7S 0805</t>
  </si>
  <si>
    <t>https://www.lcsc.com/product-detail/C342785.html</t>
  </si>
  <si>
    <t>CL10B102KC8NNNC</t>
  </si>
  <si>
    <t>C153291</t>
  </si>
  <si>
    <t>1nF ±10% 100V Ceramic Capacitor X7R 0603</t>
  </si>
  <si>
    <t>https://www.lcsc.com/product-detail/C153291.html</t>
  </si>
  <si>
    <t>CL10B103KC8NNNC</t>
  </si>
  <si>
    <t>C84709</t>
  </si>
  <si>
    <t>10nF ±10% 100V Ceramic Capacitor X7R 0603</t>
  </si>
  <si>
    <t>https://www.lcsc.com/product-detail/C84709.html</t>
  </si>
  <si>
    <t>LGE</t>
  </si>
  <si>
    <t>C19272974</t>
  </si>
  <si>
    <t>SOD-123FL</t>
  </si>
  <si>
    <t>Diode Independent 40V 2A Surface Mount SOD-123FL</t>
  </si>
  <si>
    <t>https://www.lcsc.com/product-detail/C19272974.html</t>
  </si>
  <si>
    <t>GOODWORK</t>
  </si>
  <si>
    <t>C908680</t>
  </si>
  <si>
    <t>SMA(DO-214AC)</t>
  </si>
  <si>
    <t>Diode Independent 40V 3A Surface Mount SMA(DO-214AC)</t>
  </si>
  <si>
    <t>https://www.lcsc.com/product-detail/C908680.html</t>
  </si>
  <si>
    <t>1N4148W-E3-08</t>
  </si>
  <si>
    <t>VISHAY</t>
  </si>
  <si>
    <t>C241939</t>
  </si>
  <si>
    <t>SOD-123</t>
  </si>
  <si>
    <t>Diode Independent 75V 150mA Surface Mount SOD-123</t>
  </si>
  <si>
    <t>https://www.lcsc.com/product-detail/C241939.html</t>
  </si>
  <si>
    <t>P4FL30A_R1_00001</t>
  </si>
  <si>
    <t>PANJIT</t>
  </si>
  <si>
    <t>C2902532</t>
  </si>
  <si>
    <t>48.4VC Clamp 8.3A@10/1000us Ipp TVS DIODE SOD-123FL</t>
  </si>
  <si>
    <t>https://www.lcsc.com/product-detail/C2902532.html</t>
  </si>
  <si>
    <t>DY-S161506BRGC-T5-4T-03</t>
  </si>
  <si>
    <t>TONYU</t>
  </si>
  <si>
    <t>C7280953</t>
  </si>
  <si>
    <t>SMD,1.6x1.5mm</t>
  </si>
  <si>
    <t>Red, Green, Blue 630nm LED Indication - Discrete 1.8V~2.4V SMD,1.5x1.6mm</t>
  </si>
  <si>
    <t>https://www.lcsc.com/product-detail/C7280953.html</t>
  </si>
  <si>
    <t>MCC</t>
  </si>
  <si>
    <t>C7080765</t>
  </si>
  <si>
    <t>Diode 100V 1A Surface Mount SOD-123FL</t>
  </si>
  <si>
    <t>https://www.lcsc.com/product-detail/C7080765.html</t>
  </si>
  <si>
    <t>SM03B-SRSS-TB(LF)(SN)</t>
  </si>
  <si>
    <t>C160403</t>
  </si>
  <si>
    <t>SMD,P=1mm,Surface Mount,Right Angle</t>
  </si>
  <si>
    <t>Connector Header 3 position 1mm Pitch 1A Surface Mount, Right Angle -25℃~+85℃</t>
  </si>
  <si>
    <t>https://www.lcsc.com/product-detail/C160403.html</t>
  </si>
  <si>
    <t>2.54-2*6P</t>
  </si>
  <si>
    <t>BOOMELE(Boom Precision Elec)</t>
  </si>
  <si>
    <t>C9136</t>
  </si>
  <si>
    <t>Through Hole,P=2.54mm</t>
  </si>
  <si>
    <t>Connector IDC Header Through Hole 12 position 2.54mm</t>
  </si>
  <si>
    <t>https://www.lcsc.com/product-detail/C9136.html</t>
  </si>
  <si>
    <t>PM254V-12-08-H85</t>
  </si>
  <si>
    <t>XFCN</t>
  </si>
  <si>
    <t>C2834799</t>
  </si>
  <si>
    <t>Female Header 8 Position 2.54mm Pitch Dual Row Through Hole -40℃~+105℃</t>
  </si>
  <si>
    <t>https://www.lcsc.com/product-detail/C2834799.html</t>
  </si>
  <si>
    <t>TYPE-C-31-M-12</t>
  </si>
  <si>
    <t>Korean Hroparts Elec</t>
  </si>
  <si>
    <t>C165948</t>
  </si>
  <si>
    <t>USB-C (USB TYPE-C) Receptacle Connector 16 Position Surface Mount</t>
  </si>
  <si>
    <t>https://www.lcsc.com/product-detail/C165948.html</t>
  </si>
  <si>
    <t>AOTA-B201610S3R3-101-T</t>
  </si>
  <si>
    <t>ABRACON</t>
  </si>
  <si>
    <t>C42411119</t>
  </si>
  <si>
    <t>2.1A 3.3uH 115mΩ 2.4A Molded Inductor 0806 Fixed Inductors RoHS</t>
  </si>
  <si>
    <t>https://www.lcsc.com/product-detail/C42411119.html</t>
  </si>
  <si>
    <t>IHLP1616BZER1R0M11</t>
  </si>
  <si>
    <t>C844978</t>
  </si>
  <si>
    <t>4.5A 1uH 27mΩ 5A ±20% 1616 Fixed Inductors RoHS</t>
  </si>
  <si>
    <t>https://www.lcsc.com/product-detail/C844978.html</t>
  </si>
  <si>
    <t>PULSE</t>
  </si>
  <si>
    <t>C110250</t>
  </si>
  <si>
    <t>SMD,12.7x7.1mm</t>
  </si>
  <si>
    <t>LAN Transformer 1CT:1CT Surface Mount,12.7x7.1mm</t>
  </si>
  <si>
    <t>https://www.lcsc.com/product-detail/C110250.html</t>
  </si>
  <si>
    <t>MLP2012H2R2MT0S1</t>
  </si>
  <si>
    <t>C383369</t>
  </si>
  <si>
    <t>1A 2.2uH 195mΩ ±20% 0805 Fixed Inductors RoHS</t>
  </si>
  <si>
    <t>https://www.lcsc.com/product-detail/C383369.html</t>
  </si>
  <si>
    <t>OPSCO Optoelectronics</t>
  </si>
  <si>
    <t>C2890035</t>
  </si>
  <si>
    <t>SMD-4P,1.5x1.5mm</t>
  </si>
  <si>
    <t>SMD-4P,1.5x1.5mm LED Addressable, Specialty RoHS</t>
  </si>
  <si>
    <t>https://www.lcsc.com/product-detail/C2890035.html</t>
  </si>
  <si>
    <t>EEEFK1J100P</t>
  </si>
  <si>
    <t>PANASONIC</t>
  </si>
  <si>
    <t>C128459</t>
  </si>
  <si>
    <t>SMD,D6.3xL5.8mm</t>
  </si>
  <si>
    <t>10uF ±20% 63V Aluminum Electrolytic Capacitors 2000hrs@105℃</t>
  </si>
  <si>
    <t>https://www.lcsc.com/product-detail/C128459.html</t>
  </si>
  <si>
    <t>EEEFT1E102UP</t>
  </si>
  <si>
    <t>C401766</t>
  </si>
  <si>
    <t>SMD,D10xL10.2mm</t>
  </si>
  <si>
    <t>1000uF ±20% 25V Aluminum Electrolytic Capacitors 2000hrs@105℃</t>
  </si>
  <si>
    <t>https://www.lcsc.com/product-detail/C401766.html</t>
  </si>
  <si>
    <t>RC0603FR-071KL</t>
  </si>
  <si>
    <t>YAGEO</t>
  </si>
  <si>
    <t>C22548</t>
  </si>
  <si>
    <t>100mW 1kΩ 75V Thick Film Resistor ±100ppm/℃ ±1% 0603 Chip Resistor - Surface Mount RoHS</t>
  </si>
  <si>
    <t>https://www.lcsc.com/product-detail/C22548.html</t>
  </si>
  <si>
    <t>RC0603FR-0710KL</t>
  </si>
  <si>
    <t>C98220</t>
  </si>
  <si>
    <t>100mW 10kΩ 75V Thick Film Resistor ±100ppm/℃ ±1% 0603 Chip Resistor - Surface Mount RoHS</t>
  </si>
  <si>
    <t>https://www.lcsc.com/product-detail/C98220.html</t>
  </si>
  <si>
    <t>RC0603FR-0733RL</t>
  </si>
  <si>
    <t>C108661</t>
  </si>
  <si>
    <t>100mW 33Ω 75V Thick Film Resistor ±100ppm/℃ ±1% 0603 Chip Resistor - Surface Mount RoHS</t>
  </si>
  <si>
    <t>https://www.lcsc.com/product-detail/C108661.html</t>
  </si>
  <si>
    <t>RC0603FR-071ML</t>
  </si>
  <si>
    <t>C105578</t>
  </si>
  <si>
    <t>100mW 1MΩ 75V Thick Film Resistor ±100ppm/℃ ±1% 0603 Chip Resistor - Surface Mount RoHS</t>
  </si>
  <si>
    <t>https://www.lcsc.com/product-detail/C105578.html</t>
  </si>
  <si>
    <t>RC0603FR-0712K4L</t>
  </si>
  <si>
    <t>C137798</t>
  </si>
  <si>
    <t>100mW 12.4kΩ 75V Thick Film Resistor ±100ppm/℃ ±1% 0603 Chip Resistor - Surface Mount RoHS</t>
  </si>
  <si>
    <t>https://www.lcsc.com/product-detail/C137798.html</t>
  </si>
  <si>
    <t>RC0603FR-074K99L</t>
  </si>
  <si>
    <t>C114621</t>
  </si>
  <si>
    <t>100mW 4.99kΩ 75V Thick Film Resistor ±100ppm/℃ ±1% 0603 Chip Resistor - Surface Mount RoHS</t>
  </si>
  <si>
    <t>https://www.lcsc.com/product-detail/C114621.html</t>
  </si>
  <si>
    <t>RC0603FR-072K05L</t>
  </si>
  <si>
    <t>C137751</t>
  </si>
  <si>
    <t>100mW 2.05kΩ 75V Thick Film Resistor ±100ppm/℃ ±1% 0603 Chip Resistor - Surface Mount RoHS</t>
  </si>
  <si>
    <t>https://www.lcsc.com/product-detail/C137751.html</t>
  </si>
  <si>
    <t>RC0603FR-070RL</t>
  </si>
  <si>
    <t>C100044</t>
  </si>
  <si>
    <t>0Ω 100mW 75V Thick Film Resistor ±1% 0603 Chip Resistor - Surface Mount RoHS</t>
  </si>
  <si>
    <t>https://www.lcsc.com/product-detail/C100044.html</t>
  </si>
  <si>
    <t>RC0603FR-0736K5L</t>
  </si>
  <si>
    <t>C137738</t>
  </si>
  <si>
    <t>36.5kΩ 100mW 75V Thick Film Resistor ±100ppm/℃ ±1% 0603 Chip Resistor - Surface Mount RoHS</t>
  </si>
  <si>
    <t>https://www.lcsc.com/product-detail/C137738.html</t>
  </si>
  <si>
    <t>RC0603FR-0712K1L</t>
  </si>
  <si>
    <t>C123417</t>
  </si>
  <si>
    <t>Backordered</t>
  </si>
  <si>
    <t>100mW 12.1kΩ 75V Thick Film Resistor ±100ppm/℃ ±1% 0603 Chip Resistor - Surface Mount RoHS</t>
  </si>
  <si>
    <t>https://www.lcsc.com/product-detail/C123417.html</t>
  </si>
  <si>
    <t>RC0603FR-0724K9L</t>
  </si>
  <si>
    <t>C137761</t>
  </si>
  <si>
    <t>100mW 24.9kΩ 75V Thick Film Resistor ±100ppm/℃ ±1% 0603 Chip Resistor - Surface Mount RoHS</t>
  </si>
  <si>
    <t>https://www.lcsc.com/product-detail/C137761.html</t>
  </si>
  <si>
    <t>RC0603FR-07348RL</t>
  </si>
  <si>
    <t>C137742</t>
  </si>
  <si>
    <t>100mW 348Ω 75V Thick Film Resistor ±100ppm/℃ ±1% 0603 Chip Resistor - Surface Mount RoHS</t>
  </si>
  <si>
    <t>https://www.lcsc.com/product-detail/C137742.html</t>
  </si>
  <si>
    <t>RC0603FR-07133RL</t>
  </si>
  <si>
    <t>C273752</t>
  </si>
  <si>
    <t>133Ω 100mW 75V Thick Film Resistor ±100ppm/℃ ±1% 0603 Chip Resistor - Surface Mount RoHS</t>
  </si>
  <si>
    <t>https://www.lcsc.com/product-detail/C273752.html</t>
  </si>
  <si>
    <t>RC0603FR-07430KL</t>
  </si>
  <si>
    <t>C482869</t>
  </si>
  <si>
    <t>430kΩ 100mW 75V Thick Film Resistor ±100ppm/℃ ±1% 0603 Chip Resistor - Surface Mount RoHS</t>
  </si>
  <si>
    <t>https://www.lcsc.com/product-detail/C482869.html</t>
  </si>
  <si>
    <t>RC0402FR-0733RL</t>
  </si>
  <si>
    <t>C138002</t>
  </si>
  <si>
    <t>62.5mW 33Ω 50V Thick Film Resistor ±100ppm/℃ ±1% 0402 Chip Resistor - Surface Mount RoHS</t>
  </si>
  <si>
    <t>https://www.lcsc.com/product-detail/C138002.html</t>
  </si>
  <si>
    <t>RC0402FR-0727RL</t>
  </si>
  <si>
    <t>C138021</t>
  </si>
  <si>
    <t>27Ω ±1% 62.5mW 0402 Thick Film Resistor</t>
  </si>
  <si>
    <t>https://www.lcsc.com/product-detail/C138021.html</t>
  </si>
  <si>
    <t>RC0402FR-071KL</t>
  </si>
  <si>
    <t>C106235</t>
  </si>
  <si>
    <t>1kΩ 62.5mW 50V Thick Film Resistor ±100ppm/℃ ±1% 0402 Chip Resistor - Surface Mount RoHS</t>
  </si>
  <si>
    <t>https://www.lcsc.com/product-detail/C106235.html</t>
  </si>
  <si>
    <t>RTA03-4D750JTP</t>
  </si>
  <si>
    <t>RALEC</t>
  </si>
  <si>
    <t>C102680</t>
  </si>
  <si>
    <t>0603x4</t>
  </si>
  <si>
    <t>4 ±5% 75Ω 62.5mW ±200ppm/℃ 0603x4 Resistor Networks, Arrays RoHS</t>
  </si>
  <si>
    <t>https://www.lcsc.com/product-detail/C102680.html</t>
  </si>
  <si>
    <t>YC164-FR-0710KL</t>
  </si>
  <si>
    <t>C110924</t>
  </si>
  <si>
    <t>4 ±1% 10kΩ 62.5mW ±200ppm/℃ 0603x4 Resistor Networks, Arrays RoHS</t>
  </si>
  <si>
    <t>https://www.lcsc.com/product-detail/C110924.html</t>
  </si>
  <si>
    <t>B3U-1000P</t>
  </si>
  <si>
    <t>OMRON</t>
  </si>
  <si>
    <t>C231329</t>
  </si>
  <si>
    <t>SMD,3x2.5mm</t>
  </si>
  <si>
    <t>Tactile Switch SPST 153gf 1.6mm SMD (SMT) Tab 3mm x 2.5mm Surface Mount</t>
  </si>
  <si>
    <t>https://www.lcsc.com/product-detail/C231329.html</t>
  </si>
  <si>
    <t>TXS0101DCKR</t>
  </si>
  <si>
    <t>TI</t>
  </si>
  <si>
    <t>C132031</t>
  </si>
  <si>
    <t>SC-70-6</t>
  </si>
  <si>
    <t>24Mbps 1 1 SC-70-6 Translators, Level Shifters RoHS</t>
  </si>
  <si>
    <t>https://www.lcsc.com/product-detail/C132031.html</t>
  </si>
  <si>
    <t>W25Q128JVSIQ</t>
  </si>
  <si>
    <t>Winbond</t>
  </si>
  <si>
    <t>C97521</t>
  </si>
  <si>
    <t>SOIC-8-208mil</t>
  </si>
  <si>
    <t>2.7V~3.6V 128Mbit 133MHz SPI SOIC-8-208mil Memory (ICs) RoHS</t>
  </si>
  <si>
    <t>https://www.lcsc.com/product-detail/C97521.html</t>
  </si>
  <si>
    <t>ST</t>
  </si>
  <si>
    <t>C7519</t>
  </si>
  <si>
    <t>SOT-23-6L</t>
  </si>
  <si>
    <t>17VC Clamp 5A Ipp ESD DIODE SOT-23-6L</t>
  </si>
  <si>
    <t>https://www.lcsc.com/product-detail/C7519.html</t>
  </si>
  <si>
    <t>WIZNET</t>
  </si>
  <si>
    <t>C32843</t>
  </si>
  <si>
    <t>LQFP-48(7x7)</t>
  </si>
  <si>
    <t>8 SPI LQFP-48(7x7) Interface Controllers RoHS</t>
  </si>
  <si>
    <t>https://www.lcsc.com/product-detail/C32843.html</t>
  </si>
  <si>
    <t>SILICON LABS</t>
  </si>
  <si>
    <t>C510771</t>
  </si>
  <si>
    <t>QFN-20-EP(5x5)</t>
  </si>
  <si>
    <t>37V~57V QFN-20-EP(5x5) Drivers, Receivers, Transceivers RoHS</t>
  </si>
  <si>
    <t>https://www.lcsc.com/product-detail/C510771.html</t>
  </si>
  <si>
    <t>TLV431BQDBZR</t>
  </si>
  <si>
    <t>C398374</t>
  </si>
  <si>
    <t>SOT-23-3</t>
  </si>
  <si>
    <t>1.24V~6V ±0.5% 1.24V~6V 15mA Adjustable SOT-23-3 Voltage Reference RoHS</t>
  </si>
  <si>
    <t>https://www.lcsc.com/product-detail/C398374.html</t>
  </si>
  <si>
    <t>C20625731</t>
  </si>
  <si>
    <t>SMD3225-4P</t>
  </si>
  <si>
    <t>±30ppm 10pF ±30ppm SMD3225-4P Crystals RoHS</t>
  </si>
  <si>
    <t>https://www.lcsc.com/product-detail/C20625731.html</t>
  </si>
  <si>
    <t>C5366868</t>
  </si>
  <si>
    <t>±15ppm 10pF ±10ppm SMD3225-4P Crystals RoHS</t>
  </si>
  <si>
    <t>https://www.lcsc.com/product-detail/C5366868.html</t>
  </si>
  <si>
    <t>MAX3485EESA+T</t>
  </si>
  <si>
    <t>MAXIM</t>
  </si>
  <si>
    <t>C9943</t>
  </si>
  <si>
    <t>SOIC-8</t>
  </si>
  <si>
    <t>3V~3.6V Transceiver 12Mbps Half-Duplex SOIC-8 Drivers, Receivers, Transceivers RoHS</t>
  </si>
  <si>
    <t>https://www.lcsc.com/product-detail/C9943.html</t>
  </si>
  <si>
    <t>IDC-265126-200-12P</t>
  </si>
  <si>
    <t>DEALON</t>
  </si>
  <si>
    <t>C7465811</t>
  </si>
  <si>
    <t>-</t>
  </si>
  <si>
    <t>Wire Wrap RoHS</t>
  </si>
  <si>
    <t>https://www.lcsc.com/product-detail/C7465811.html</t>
  </si>
  <si>
    <t>VO618A-3X017T</t>
  </si>
  <si>
    <t>C143748</t>
  </si>
  <si>
    <t>SMD-4P</t>
  </si>
  <si>
    <t>50mA 250mV@2.5mA,1mA 80V 6V 1.1V DC SMD-4P Transistor, Photovoltaic Output Optoisolators RoHS</t>
  </si>
  <si>
    <t>https://www.lcsc.com/product-detail/C143748.html</t>
  </si>
  <si>
    <t>5034801200</t>
  </si>
  <si>
    <t>MOLEX</t>
  </si>
  <si>
    <t>C587969</t>
  </si>
  <si>
    <t>SMD,P=0.5mm,Surface Mount,Right Angle</t>
  </si>
  <si>
    <t>FFC/FPC Connector 12 Position 0.5mm Pitch Double-Sided Contacts, Top and Bottom Entry Surface Mount, Right Angle -40℃~+85℃</t>
  </si>
  <si>
    <t>https://www.lcsc.com/product-detail/C587969.html</t>
  </si>
  <si>
    <t>BSS138LT1G</t>
  </si>
  <si>
    <t>onsemi</t>
  </si>
  <si>
    <t>C82045</t>
  </si>
  <si>
    <t>N-Channel 50V 200mA 225mW Surface Mount SOT-23</t>
  </si>
  <si>
    <t>https://www.lcsc.com/product-detail/C82045.html</t>
  </si>
  <si>
    <t>ALPSALPINE</t>
  </si>
  <si>
    <t>C202365</t>
  </si>
  <si>
    <t>Through Hole</t>
  </si>
  <si>
    <t>Through Hole Encoders RoHS</t>
  </si>
  <si>
    <t>https://www.lcsc.com/product-detail/C202365.html</t>
  </si>
  <si>
    <t>DIODES</t>
  </si>
  <si>
    <t>C129757</t>
  </si>
  <si>
    <t>240ms Active Low 1V~5.5V 1 SOT-23 Supervisors RoHS</t>
  </si>
  <si>
    <t>https://www.lcsc.com/product-detail/C129757.html</t>
  </si>
  <si>
    <t>MLG1005S2N0BT000</t>
  </si>
  <si>
    <t>C76769</t>
  </si>
  <si>
    <t>900mA 2nH 70mΩ Multilayer inductor 0402 Fixed Inductors RoHS</t>
  </si>
  <si>
    <t>https://www.lcsc.com/product-detail/C76769.html</t>
  </si>
  <si>
    <t>RC0402FR-0710KL</t>
  </si>
  <si>
    <t>C60490</t>
  </si>
  <si>
    <t>62.5mW 10kΩ 50V Thick Film Resistor ±100ppm/℃ ±1% 0402 Chip Resistor - Surface Mount RoHS</t>
  </si>
  <si>
    <t>https://www.lcsc.com/product-detail/C60490.html</t>
  </si>
  <si>
    <t>CC0402BRNPO9BN3R0</t>
  </si>
  <si>
    <t>C327228</t>
  </si>
  <si>
    <t>3pF 50V Ceramic Capacitor NP0 0402</t>
  </si>
  <si>
    <t>https://www.lcsc.com/product-detail/C327228.html</t>
  </si>
  <si>
    <t>0402CG140J500NT</t>
  </si>
  <si>
    <t>FH</t>
  </si>
  <si>
    <t>C3037644</t>
  </si>
  <si>
    <t>14pF ±5% 50V Ceramic Capacitor C0G 0402</t>
  </si>
  <si>
    <t>https://www.lcsc.com/product-detail/C3037644.html</t>
  </si>
  <si>
    <t>CL10B106MQ8NRNC</t>
  </si>
  <si>
    <t>C3039698</t>
  </si>
  <si>
    <t>10uF ±20% 6.3V Ceramic Capacitor X7R 0603</t>
  </si>
  <si>
    <t>https://www.lcsc.com/product-detail/C3039698.html</t>
  </si>
  <si>
    <t>734120110</t>
  </si>
  <si>
    <t>C434806</t>
  </si>
  <si>
    <t>Connector Receptacle IPEX Male Pin Surface Mount</t>
  </si>
  <si>
    <t>https://www.lcsc.com/product-detail/C434806.html</t>
  </si>
  <si>
    <t>PZ254V-12-8P</t>
  </si>
  <si>
    <t>C492421</t>
  </si>
  <si>
    <t>Pin Header 8 Position 2.54mm Pitch Dual Row Through Hole -40℃~+105℃</t>
  </si>
  <si>
    <t>https://www.lcsc.com/product-detail/C492421.html</t>
  </si>
  <si>
    <t>ESP8684H4X</t>
  </si>
  <si>
    <t>ESPRESSIF</t>
  </si>
  <si>
    <t>C48929155</t>
  </si>
  <si>
    <t>QFN-24(4x4)</t>
  </si>
  <si>
    <t>QFN-24(4x4) RF Transceiver ICs RoHS</t>
  </si>
  <si>
    <t>https://www.lcsc.com/product-detail/C48929155.html</t>
  </si>
  <si>
    <t>EPSON</t>
  </si>
  <si>
    <t>C255886</t>
  </si>
  <si>
    <t>SMD2016-4P</t>
  </si>
  <si>
    <t>Crystal 26MHz ±10ppm 10pF 60Ω SMD2016-4P</t>
  </si>
  <si>
    <t>https://www.lcsc.com/product-detail/C255886.html</t>
  </si>
  <si>
    <t>HS20HS072RX</t>
  </si>
  <si>
    <t>HS</t>
  </si>
  <si>
    <t>C5329582</t>
  </si>
  <si>
    <t>2 320x240 ST7789 SPI LCD, OLED, Graphic RoHS</t>
  </si>
  <si>
    <t>https://www.lcsc.com/product-detail/C5329582.html</t>
  </si>
  <si>
    <t>Mrf#</t>
  </si>
  <si>
    <t>Mfr.</t>
  </si>
  <si>
    <t>Order Qty.</t>
  </si>
  <si>
    <t>Unit Price(USD)</t>
  </si>
  <si>
    <t>Ext.Price(USD)</t>
  </si>
  <si>
    <t>Package</t>
  </si>
  <si>
    <t>Min</t>
  </si>
  <si>
    <t>Mult</t>
  </si>
  <si>
    <t>SPQ</t>
  </si>
  <si>
    <t>Availability</t>
  </si>
  <si>
    <t>Stock Status</t>
  </si>
  <si>
    <t>Customer Notes</t>
  </si>
  <si>
    <t>Description</t>
  </si>
  <si>
    <t>Matched status</t>
  </si>
  <si>
    <t>Product Link</t>
  </si>
  <si>
    <t>T491A106K006AT</t>
  </si>
  <si>
    <t>KEMET</t>
  </si>
  <si>
    <t>C122260</t>
  </si>
  <si>
    <t>CASE-A-3216-18(mm)</t>
  </si>
  <si>
    <t>10uF ±10% 6.3V Tantalum Capacitors 4Ω@100kHz CASE-A-3216-18(mm)</t>
  </si>
  <si>
    <t>https://www.lcsc.com/product-detail/C122260.html</t>
  </si>
  <si>
    <t>--</t>
  </si>
  <si>
    <t>Enough?</t>
  </si>
  <si>
    <t>Already in another pcb</t>
  </si>
  <si>
    <t>949-NPM1300-QEAA-R7</t>
  </si>
  <si>
    <t>nPM1300-QEAA-R7</t>
  </si>
  <si>
    <t>Nordic Semiconductor</t>
  </si>
  <si>
    <t>568-NE8FAH-LR-DAE</t>
  </si>
  <si>
    <t>NE8FAH-LR-DAE</t>
  </si>
  <si>
    <t>Neutrik</t>
  </si>
  <si>
    <t>568-NC5FAH1-LR-DAE</t>
  </si>
  <si>
    <t>568-NC3FAH2-LR-DAE</t>
  </si>
  <si>
    <t>568-NLR-LB</t>
  </si>
  <si>
    <t>994-FA2805-CLD</t>
  </si>
  <si>
    <t>FA2805-CLD</t>
  </si>
  <si>
    <t>Coilcraft</t>
  </si>
  <si>
    <t>358-SC151013</t>
  </si>
  <si>
    <t>SC1510(13)-A4</t>
  </si>
  <si>
    <t>Raspberry Pi</t>
  </si>
  <si>
    <t>https://nl.mouser.com/ProductDetail/Nordic-Semiconductor/nPM1300-QEAA-R7?qs=3pZoU%2F6IRTj0hxAp51B2zA%3D%3D</t>
  </si>
  <si>
    <t>https://nl.mouser.com/ProductDetail/Neutrik/NE8FAH-LR-DAE?qs=4ASt3YYao0WhX9cY4j%252BFSA%3D%3D</t>
  </si>
  <si>
    <t>https://nl.mouser.com/ProductDetail/Neutrik/NC5FAH1-LR-DAE?qs=6avfeC6zeS5u3oz5Q9UQlw%3D%3D</t>
  </si>
  <si>
    <t>https://nl.mouser.com/ProductDetail/Neutrik/NC3FAH2-LR-DAE?qs=4ASt3YYao0XSl5KoEkZrIA%3D%3D</t>
  </si>
  <si>
    <t>https://nl.mouser.com/ProductDetail/Neutrik/NLR-LB?qs=Imq1NPwxi76abBKVKeKReg%3D%3D</t>
  </si>
  <si>
    <t>https://nl.mouser.com/ProductDetail/Coilcraft/FA2805-CLD?qs=ZYnrCdKdyef%252BZjF1kFFBVA%3D%3D</t>
  </si>
  <si>
    <t>https://nl.mouser.com/ProductDetail/Raspberry-Pi/SC151013-A4?qs=jcD%2FCkGBYeM5TtP1Ew4BSg%3D%3D</t>
  </si>
  <si>
    <t>RC0603FR-0710RL</t>
  </si>
  <si>
    <t>C109318</t>
  </si>
  <si>
    <t>100mW 10Ω 75V Thick Film Resistor ±1% ±200ppm/℃ 0603 Chip Resistor - Surface Mount RoHS</t>
  </si>
  <si>
    <t>https://www.lcsc.com/product-detail/C109318.html</t>
  </si>
  <si>
    <t>PKCELL Li-Po Battery 3.7V 2000mAh</t>
  </si>
  <si>
    <t>PKCELL</t>
  </si>
  <si>
    <t>Li-Po Battery 3.7V 2000mAh - JST-PH - LP803860</t>
  </si>
  <si>
    <t>LCSC#/MOUSER</t>
  </si>
  <si>
    <t>https://www.tinytronics.nl/en/power/batteries/li-po/pkcell-li-po-battery-3.7v-2000mah-jst-ph-lp803860</t>
  </si>
  <si>
    <t>shipping LCSC</t>
  </si>
  <si>
    <t>Shipping JLCPCB</t>
  </si>
  <si>
    <t>Shipping Tinytronics</t>
  </si>
  <si>
    <t>Shipping Mouser</t>
  </si>
  <si>
    <t>Total</t>
  </si>
  <si>
    <t>JLCPCB Main PCB inc. Stencil</t>
  </si>
  <si>
    <t>JLCPCB WIFI PCB inc. Stencil</t>
  </si>
  <si>
    <t>JLCPCB Display PCB inc. Stencil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</si>
</sst>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indexed="12"/>
      <name val="宋体"/>
      <charset val="134"/>
    </font>
    <font>
      <sz val="10"/>
      <name val="Aptos Narrow"/>
      <family val="2"/>
      <scheme val="minor"/>
    </font>
    <font>
      <u/>
      <sz val="10"/>
      <color indexed="12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4" fillId="0" borderId="0" xfId="2" applyFont="1" applyAlignment="1">
      <alignment horizontal="left" vertical="center"/>
    </xf>
    <xf numFmtId="0" fontId="3" fillId="0" borderId="0" xfId="2"/>
    <xf numFmtId="0" fontId="5" fillId="0" borderId="0" xfId="3" applyBorder="1" applyAlignment="1">
      <alignment wrapText="1"/>
    </xf>
    <xf numFmtId="0" fontId="0" fillId="0" borderId="0" xfId="0" quotePrefix="1"/>
    <xf numFmtId="0" fontId="6" fillId="2" borderId="0" xfId="2" applyFont="1" applyFill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6" fillId="0" borderId="0" xfId="1" applyNumberFormat="1" applyFont="1" applyBorder="1" applyAlignment="1">
      <alignment horizontal="left" vertical="center"/>
    </xf>
    <xf numFmtId="0" fontId="6" fillId="3" borderId="0" xfId="2" applyFont="1" applyFill="1" applyAlignment="1">
      <alignment horizontal="left" vertical="center"/>
    </xf>
    <xf numFmtId="0" fontId="6" fillId="0" borderId="0" xfId="2" applyFont="1"/>
    <xf numFmtId="0" fontId="6" fillId="2" borderId="0" xfId="1" applyNumberFormat="1" applyFont="1" applyFill="1" applyBorder="1" applyAlignment="1">
      <alignment horizontal="left" vertical="center"/>
    </xf>
    <xf numFmtId="44" fontId="6" fillId="2" borderId="0" xfId="1" applyFont="1" applyFill="1" applyBorder="1" applyAlignment="1">
      <alignment horizontal="center" vertical="center"/>
    </xf>
    <xf numFmtId="44" fontId="6" fillId="0" borderId="0" xfId="1" applyFont="1" applyBorder="1" applyAlignment="1">
      <alignment horizontal="left" vertical="center"/>
    </xf>
    <xf numFmtId="0" fontId="8" fillId="0" borderId="0" xfId="0" quotePrefix="1" applyFont="1"/>
    <xf numFmtId="0" fontId="8" fillId="0" borderId="0" xfId="0" applyFont="1"/>
    <xf numFmtId="0" fontId="8" fillId="0" borderId="0" xfId="0" applyFont="1" applyAlignment="1">
      <alignment horizontal="left"/>
    </xf>
    <xf numFmtId="44" fontId="8" fillId="0" borderId="0" xfId="1" quotePrefix="1" applyFont="1" applyBorder="1"/>
    <xf numFmtId="0" fontId="8" fillId="0" borderId="0" xfId="1" applyNumberFormat="1" applyFont="1" applyBorder="1"/>
    <xf numFmtId="0" fontId="8" fillId="0" borderId="0" xfId="1" applyNumberFormat="1" applyFont="1" applyBorder="1" applyAlignment="1">
      <alignment horizontal="left"/>
    </xf>
    <xf numFmtId="44" fontId="8" fillId="0" borderId="0" xfId="1" applyFont="1" applyBorder="1"/>
    <xf numFmtId="2" fontId="8" fillId="0" borderId="0" xfId="0" applyNumberFormat="1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3" applyNumberFormat="1" applyFont="1" applyBorder="1" applyAlignment="1"/>
    <xf numFmtId="0" fontId="5" fillId="0" borderId="0" xfId="3" applyBorder="1" applyAlignment="1"/>
    <xf numFmtId="0" fontId="7" fillId="0" borderId="0" xfId="3" applyFont="1" applyBorder="1" applyAlignment="1"/>
    <xf numFmtId="0" fontId="7" fillId="0" borderId="0" xfId="3" applyFont="1" applyAlignment="1"/>
    <xf numFmtId="44" fontId="8" fillId="0" borderId="0" xfId="1" applyFont="1"/>
    <xf numFmtId="44" fontId="8" fillId="0" borderId="0" xfId="0" applyNumberFormat="1" applyFont="1"/>
  </cellXfs>
  <cellStyles count="4">
    <cellStyle name="Currency" xfId="1" builtinId="4"/>
    <cellStyle name="Hyperlink 2" xfId="3" xr:uid="{4E5B0147-6CFE-4E54-ACBB-AF608E19D3A6}"/>
    <cellStyle name="Normal" xfId="0" builtinId="0"/>
    <cellStyle name="Normal 2" xfId="2" xr:uid="{B5D1B2ED-513F-44B5-BB21-F052053D13F4}"/>
  </cellStyles>
  <dxfs count="12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0"/>
        <color indexed="12"/>
        <name val="Aptos Narrow"/>
        <family val="2"/>
        <scheme val="minor"/>
      </font>
      <numFmt numFmtId="0" formatCode="General"/>
      <alignment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0"/>
        <color indexed="12"/>
        <name val="Aptos Narrow"/>
        <family val="2"/>
        <scheme val="minor"/>
      </font>
      <numFmt numFmtId="0" formatCode="General"/>
      <alignment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0"/>
        <color indexed="12"/>
        <name val="Aptos Narrow"/>
        <family val="2"/>
        <scheme val="minor"/>
      </font>
      <numFmt numFmtId="0" formatCode="General"/>
      <alignment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17788B69-A5A2-442D-970D-4F3F58D2C1D1}">
      <tableStyleElement type="wholeTable" dxfId="121"/>
      <tableStyleElement type="headerRow" dxfId="120"/>
      <tableStyleElement type="totalRow" dxfId="119"/>
      <tableStyleElement type="firstColumn" dxfId="118"/>
      <tableStyleElement type="lastColumn" dxfId="117"/>
      <tableStyleElement type="firstRowStripe" dxfId="116"/>
      <tableStyleElement type="firstColumnStripe" dxfId="115"/>
    </tableStyle>
    <tableStyle name="PivotStylePreset2_Accent1" table="0" count="10" xr9:uid="{49D30C32-15C7-40F8-9F26-4D109DA1EB3E}">
      <tableStyleElement type="headerRow" dxfId="114"/>
      <tableStyleElement type="totalRow" dxfId="113"/>
      <tableStyleElement type="firstRowStripe" dxfId="112"/>
      <tableStyleElement type="firstColumnStripe" dxfId="111"/>
      <tableStyleElement type="firstSubtotalRow" dxfId="110"/>
      <tableStyleElement type="secondSubtotalRow" dxfId="109"/>
      <tableStyleElement type="firstRowSubheading" dxfId="108"/>
      <tableStyleElement type="secondRowSubheading" dxfId="107"/>
      <tableStyleElement type="pageFieldLabels" dxfId="106"/>
      <tableStyleElement type="pageFieldValues" dxfId="10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1AA236-3889-436E-9975-C6A7419B20F0}" autoFormatId="16" applyNumberFormats="0" applyBorderFormats="0" applyFontFormats="0" applyPatternFormats="0" applyAlignmentFormats="0" applyWidthHeightFormats="0">
  <queryTableRefresh nextId="30" unboundColumnsRight="20">
    <queryTableFields count="2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9" dataBound="0" tableColumnId="10"/>
      <queryTableField id="8" name="_1" tableColumnId="8"/>
      <queryTableField id="10" dataBound="0" tableColumnId="11"/>
      <queryTableField id="11" dataBound="0" tableColumnId="12"/>
      <queryTableField id="12" dataBound="0" tableColumnId="13"/>
      <queryTableField id="13" dataBound="0" tableColumnId="14"/>
      <queryTableField id="14" dataBound="0" tableColumnId="15"/>
      <queryTableField id="15" dataBound="0" tableColumnId="16"/>
      <queryTableField id="16" dataBound="0" tableColumnId="17"/>
      <queryTableField id="17" dataBound="0" tableColumnId="18"/>
      <queryTableField id="18" dataBound="0" tableColumnId="19"/>
      <queryTableField id="19" dataBound="0" tableColumnId="20"/>
      <queryTableField id="20" dataBound="0" tableColumnId="21"/>
      <queryTableField id="21" dataBound="0" tableColumnId="22"/>
      <queryTableField id="22" dataBound="0" tableColumnId="23"/>
      <queryTableField id="23" dataBound="0" tableColumnId="24"/>
      <queryTableField id="24" dataBound="0" tableColumnId="25"/>
      <queryTableField id="25" dataBound="0" tableColumnId="26"/>
      <queryTableField id="26" dataBound="0" tableColumnId="27"/>
      <queryTableField id="27" dataBound="0" tableColumnId="28"/>
      <queryTableField id="28" dataBound="0" tableColumnId="29"/>
      <queryTableField id="29" dataBound="0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A566FF2-FC8E-436C-B0F8-42200F613E9C}" autoFormatId="16" applyNumberFormats="0" applyBorderFormats="0" applyFontFormats="0" applyPatternFormats="0" applyAlignmentFormats="0" applyWidthHeightFormats="0">
  <queryTableRefresh nextId="30" unboundColumnsRight="22">
    <queryTableFields count="2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6E0BFE7-F2CA-4B92-9923-39F2DE8AE27B}" autoFormatId="16" applyNumberFormats="0" applyBorderFormats="0" applyFontFormats="0" applyPatternFormats="0" applyAlignmentFormats="0" applyWidthHeightFormats="0">
  <queryTableRefresh nextId="30" unboundColumnsRight="21">
    <queryTableFields count="2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AD78172-008F-425B-846E-6CB1E83A005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7A5E76-975F-49F7-AE24-91BEE9E42ECF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9" dataBound="0" tableColumnId="10"/>
      <queryTableField id="8" name="_1" tableColumnId="8"/>
      <queryTableField id="10" dataBound="0" tableColumnId="11"/>
      <queryTableField id="11" dataBound="0" tableColumnId="12"/>
      <queryTableField id="12" dataBound="0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2F13C4A-BF1A-4676-A9CD-C7C8A5B03022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C0AB72-A7A2-4A21-93A5-37449EA6BEB9}" name="Artnet_DMX_Converter5" displayName="Artnet_DMX_Converter5" ref="A1:AC75" tableType="queryTable" totalsRowShown="0">
  <autoFilter ref="A1:AC75" xr:uid="{42C0AB72-A7A2-4A21-93A5-37449EA6BEB9}"/>
  <sortState xmlns:xlrd2="http://schemas.microsoft.com/office/spreadsheetml/2017/richdata2" ref="A2:K75">
    <sortCondition ref="B1:B75"/>
  </sortState>
  <tableColumns count="29">
    <tableColumn id="1" xr3:uid="{193D4942-D9C7-4808-9664-ED233B7BC77F}" uniqueName="1" name="Id" queryTableFieldId="1"/>
    <tableColumn id="2" xr3:uid="{EBE99961-81FC-436F-B8F4-C920E55866B1}" uniqueName="2" name="Designator" queryTableFieldId="2" dataDxfId="104"/>
    <tableColumn id="3" xr3:uid="{68D5AD26-CBA6-4EC2-A9F1-D603B2F6AF06}" uniqueName="3" name="Footprint" queryTableFieldId="3" dataDxfId="103"/>
    <tableColumn id="4" xr3:uid="{C69663E0-3934-402E-A217-B04C029903F9}" uniqueName="4" name="Quantity" queryTableFieldId="4"/>
    <tableColumn id="5" xr3:uid="{EFC1BF42-A0F8-4167-A78B-971913DD5EC6}" uniqueName="5" name="Designation" queryTableFieldId="5" dataDxfId="102"/>
    <tableColumn id="6" xr3:uid="{ADFEF14D-AB5A-4337-BFD4-9F22C06A037A}" uniqueName="6" name="Supplier and ref" queryTableFieldId="6" dataDxfId="101"/>
    <tableColumn id="7" xr3:uid="{5FF69B16-46E7-4D4B-92E4-918E69492B30}" uniqueName="7" name="Column1" queryTableFieldId="7" dataDxfId="100"/>
    <tableColumn id="10" xr3:uid="{7ECCF4D2-A4BB-4FB1-AB47-D80526DE1596}" uniqueName="10" name="Needed quantity" queryTableFieldId="9" dataDxfId="99">
      <calculatedColumnFormula>2*Artnet_DMX_Converter5[[#This Row],[Quantity]]</calculatedColumnFormula>
    </tableColumn>
    <tableColumn id="8" xr3:uid="{B90649C3-9530-44F6-9F83-0F46EA369F24}" uniqueName="8" name="-" queryTableFieldId="8" dataDxfId="98"/>
    <tableColumn id="11" xr3:uid="{8BB3B2CB-709B-40DE-91FE-851022C724E2}" uniqueName="11" name="LCSC" queryTableFieldId="10" dataDxfId="97"/>
    <tableColumn id="12" xr3:uid="{5B21BDC3-D99E-43DA-A2E4-B05F14DDA14D}" uniqueName="12" name="MOUSER" queryTableFieldId="11" dataDxfId="96"/>
    <tableColumn id="13" xr3:uid="{B0CDCEBA-8AC4-4942-9413-2D530A7F2761}" uniqueName="13" name="Already in another pcb" queryTableFieldId="12" dataDxfId="95"/>
    <tableColumn id="14" xr3:uid="{8340A12D-F318-4D9C-969B-3117A5EADB1A}" uniqueName="14" name="Enough?" queryTableFieldId="13" dataDxfId="94"/>
    <tableColumn id="15" xr3:uid="{1ED5A8A2-1611-49FA-A788-90397B1162E3}" uniqueName="15" name="Mrf#" queryTableFieldId="14" dataDxfId="93"/>
    <tableColumn id="16" xr3:uid="{07C56306-EF8D-45EF-BC0C-FA7F2A15FEF3}" uniqueName="16" name="Mfr." queryTableFieldId="15" dataDxfId="92"/>
    <tableColumn id="17" xr3:uid="{19635C0F-7BD1-4660-98C6-93346F766B86}" uniqueName="17" name="Order Qty." queryTableFieldId="16" dataDxfId="91" dataCellStyle="Currency"/>
    <tableColumn id="18" xr3:uid="{A46DB81F-05A4-4B42-8CA7-8DD56227E5E7}" uniqueName="18" name="Unit Price(USD)" queryTableFieldId="17" dataDxfId="90" dataCellStyle="Currency"/>
    <tableColumn id="19" xr3:uid="{570EBF30-7625-4C4F-A1A9-5A6C29E3344C}" uniqueName="19" name="Ext.Price(USD)" queryTableFieldId="18" dataDxfId="89" dataCellStyle="Currency"/>
    <tableColumn id="20" xr3:uid="{1210C2A8-B78E-4F49-8D59-4D7358DDF469}" uniqueName="20" name="LCSC#/MOUSER" queryTableFieldId="19" dataDxfId="88"/>
    <tableColumn id="21" xr3:uid="{DCDFBA0B-E1DF-4891-B6DE-50DD37843C8F}" uniqueName="21" name="Package" queryTableFieldId="20" dataDxfId="87"/>
    <tableColumn id="22" xr3:uid="{EE553BAA-235A-4ADE-BF21-5A6D487E525F}" uniqueName="22" name="Min" queryTableFieldId="21" dataDxfId="86"/>
    <tableColumn id="23" xr3:uid="{EF5D702D-6003-4207-8949-2FAAAEA59C21}" uniqueName="23" name="Mult" queryTableFieldId="22" dataDxfId="85"/>
    <tableColumn id="24" xr3:uid="{FC548331-4E82-4F18-8F1B-96AD5CFD679F}" uniqueName="24" name="SPQ" queryTableFieldId="23" dataDxfId="84"/>
    <tableColumn id="25" xr3:uid="{4CE5E4B3-AC89-4D44-992B-1F594AE2EC4A}" uniqueName="25" name="Availability" queryTableFieldId="24" dataDxfId="83"/>
    <tableColumn id="26" xr3:uid="{8719B838-3310-4B06-B6C2-7223B1B40BC9}" uniqueName="26" name="Stock Status" queryTableFieldId="25" dataDxfId="82"/>
    <tableColumn id="27" xr3:uid="{2577FF1C-2965-441F-B3FF-7C6FD0944441}" uniqueName="27" name="Customer Notes" queryTableFieldId="26" dataDxfId="81"/>
    <tableColumn id="28" xr3:uid="{5613E865-76FA-42C7-807E-255777292765}" uniqueName="28" name="Description" queryTableFieldId="27" dataDxfId="80"/>
    <tableColumn id="29" xr3:uid="{DC4F61A6-52E4-4ABC-BD2A-0891230BC00B}" uniqueName="29" name="Matched status" queryTableFieldId="28" dataDxfId="79"/>
    <tableColumn id="30" xr3:uid="{F1A13F5D-E76A-4CC6-B004-7EA2E6343DD2}" uniqueName="30" name="Product Link" queryTableFieldId="29" dataDxfId="78" dataCellStyle="Hyperlink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0ED056-2940-41DE-A3E2-28091B70F2A0}" name="Display_panel7" displayName="Display_panel7" ref="A78:AC87" tableType="queryTable" totalsRowShown="0">
  <autoFilter ref="A78:AC87" xr:uid="{C80ED056-2940-41DE-A3E2-28091B70F2A0}"/>
  <sortState xmlns:xlrd2="http://schemas.microsoft.com/office/spreadsheetml/2017/richdata2" ref="A79:L87">
    <sortCondition ref="B78:B87"/>
  </sortState>
  <tableColumns count="29">
    <tableColumn id="1" xr3:uid="{497A9602-423A-4EE5-A4C3-05DBCE27F0C5}" uniqueName="1" name="Id" queryTableFieldId="1"/>
    <tableColumn id="2" xr3:uid="{248C9EEE-C317-4CF2-8FF9-EBC3B367C080}" uniqueName="2" name="Designator" queryTableFieldId="2" dataDxfId="77"/>
    <tableColumn id="3" xr3:uid="{36AFF123-E529-4AD9-B586-671130A051FA}" uniqueName="3" name="Footprint" queryTableFieldId="3" dataDxfId="76"/>
    <tableColumn id="4" xr3:uid="{3676B207-F980-400C-B584-7AEC2C881662}" uniqueName="4" name="Quantity" queryTableFieldId="4"/>
    <tableColumn id="5" xr3:uid="{5E97CF41-ABB3-47AE-A0AC-B0E7E29D04F2}" uniqueName="5" name="Designation" queryTableFieldId="5" dataDxfId="75"/>
    <tableColumn id="6" xr3:uid="{9E4029D5-EC40-4FD8-A618-F86B9AC55CCF}" uniqueName="6" name="Supplier and ref" queryTableFieldId="6" dataDxfId="74"/>
    <tableColumn id="7" xr3:uid="{AD3BD5D5-70CF-457B-9E36-2BF3A5A4569F}" uniqueName="7" name="Column1" queryTableFieldId="7" dataDxfId="73"/>
    <tableColumn id="8" xr3:uid="{312509E5-FBDF-4828-AE6F-FA834B68DF72}" uniqueName="8" name="Needed quantity" queryTableFieldId="8" dataDxfId="72">
      <calculatedColumnFormula>2*Display_panel7[[#This Row],[Quantity]]</calculatedColumnFormula>
    </tableColumn>
    <tableColumn id="9" xr3:uid="{466BF7CA-A66E-4E93-A410-26712E4A088D}" uniqueName="9" name="-" queryTableFieldId="9" dataDxfId="71"/>
    <tableColumn id="10" xr3:uid="{EF9CED38-6BA4-4B5E-A768-E8F7877DA34C}" uniqueName="10" name="LCSC" queryTableFieldId="10" dataDxfId="70"/>
    <tableColumn id="11" xr3:uid="{B8AF37A0-7622-4CE8-B4F8-07F8A264DAFC}" uniqueName="11" name="MOUSER" queryTableFieldId="11" dataDxfId="69"/>
    <tableColumn id="12" xr3:uid="{3CC847EE-DB6C-4D10-A4FE-5AF7D6DAC000}" uniqueName="12" name="Already in another pcb" queryTableFieldId="12" dataDxfId="68"/>
    <tableColumn id="13" xr3:uid="{4209E125-D2D4-4118-AAF7-2424A4EE1570}" uniqueName="13" name="--" queryTableFieldId="13" dataDxfId="67"/>
    <tableColumn id="14" xr3:uid="{F77F0236-F98A-4965-9182-ADC25F4B7E38}" uniqueName="14" name="Mrf#" queryTableFieldId="14" dataDxfId="66"/>
    <tableColumn id="15" xr3:uid="{35B8A93E-B4A7-4A83-9024-CC101868A70A}" uniqueName="15" name="Mfr." queryTableFieldId="15" dataDxfId="65"/>
    <tableColumn id="16" xr3:uid="{E562ACF4-D8CD-4985-8EC9-26D45054BB92}" uniqueName="16" name="Order Qty." queryTableFieldId="16" dataDxfId="64" dataCellStyle="Currency"/>
    <tableColumn id="17" xr3:uid="{4B8A9EA3-8B9F-48DB-B5CE-DD5C61A296C3}" uniqueName="17" name="Unit Price(USD)" queryTableFieldId="17" dataDxfId="63" dataCellStyle="Currency"/>
    <tableColumn id="18" xr3:uid="{681F7274-0403-4F56-A317-DD049A8A07BF}" uniqueName="18" name="Ext.Price(USD)" queryTableFieldId="18" dataDxfId="62" dataCellStyle="Currency"/>
    <tableColumn id="19" xr3:uid="{6073EC40-E9B7-4260-A82D-A28FAFFCC35E}" uniqueName="19" name="LCSC#/MOUSER" queryTableFieldId="19" dataDxfId="61"/>
    <tableColumn id="20" xr3:uid="{EEC6C7E9-C4FE-4094-B250-BB6B33BB8464}" uniqueName="20" name="Package" queryTableFieldId="20" dataDxfId="60"/>
    <tableColumn id="21" xr3:uid="{81D33918-2986-4E3F-BD4D-051917441601}" uniqueName="21" name="Min" queryTableFieldId="21" dataDxfId="59"/>
    <tableColumn id="22" xr3:uid="{F26EC7E1-D7C6-4ECE-B10B-99623AAEFE95}" uniqueName="22" name="Mult" queryTableFieldId="22" dataDxfId="58"/>
    <tableColumn id="23" xr3:uid="{7AC43392-CA85-4105-977C-51ED085E626D}" uniqueName="23" name="SPQ" queryTableFieldId="23" dataDxfId="57"/>
    <tableColumn id="24" xr3:uid="{054AEE52-D1A0-4011-B23F-BB94CFAE1142}" uniqueName="24" name="Availability" queryTableFieldId="24" dataDxfId="56"/>
    <tableColumn id="25" xr3:uid="{0AA1D208-8245-459D-94F6-604BED0B7234}" uniqueName="25" name="Stock Status" queryTableFieldId="25" dataDxfId="55"/>
    <tableColumn id="26" xr3:uid="{C5ABA018-08A0-4C05-B2A8-0C9FFA3C4F07}" uniqueName="26" name="Customer Notes" queryTableFieldId="26" dataDxfId="54"/>
    <tableColumn id="27" xr3:uid="{95403B65-8FFF-446B-907D-9606ACF3E1AB}" uniqueName="27" name="Description" queryTableFieldId="27" dataDxfId="53"/>
    <tableColumn id="28" xr3:uid="{C1157F66-0BE1-48D4-BF0E-A795DED00553}" uniqueName="28" name="Matched status" queryTableFieldId="28" dataDxfId="52"/>
    <tableColumn id="29" xr3:uid="{B225C4F7-C17C-4475-85AA-F874BA501B03}" uniqueName="29" name="Product Link" queryTableFieldId="29" dataDxfId="51" dataCellStyle="Hyperlink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8C786A-36B8-47D2-96A5-E54BBCB075A8}" name="WIFI_Module9" displayName="WIFI_Module9" ref="A90:AC101" tableType="queryTable" totalsRowShown="0">
  <autoFilter ref="A90:AC101" xr:uid="{ED8C786A-36B8-47D2-96A5-E54BBCB075A8}"/>
  <sortState xmlns:xlrd2="http://schemas.microsoft.com/office/spreadsheetml/2017/richdata2" ref="A91:L101">
    <sortCondition ref="B90:B101"/>
  </sortState>
  <tableColumns count="29">
    <tableColumn id="1" xr3:uid="{0E63F159-3CED-4B29-86B6-632E7C1C742B}" uniqueName="1" name="Id" queryTableFieldId="1"/>
    <tableColumn id="2" xr3:uid="{D1DE625A-59DE-459D-A45A-536F2DCFBF7F}" uniqueName="2" name="Designator" queryTableFieldId="2" dataDxfId="50"/>
    <tableColumn id="3" xr3:uid="{873A6810-3388-41FB-952D-50FC4CA27EDB}" uniqueName="3" name="Footprint" queryTableFieldId="3" dataDxfId="49"/>
    <tableColumn id="4" xr3:uid="{44B2CDFF-B5E8-4E2D-AB83-7100F24D4468}" uniqueName="4" name="Quantity" queryTableFieldId="4"/>
    <tableColumn id="5" xr3:uid="{22FA568B-01D6-4A0C-9ECE-923A51F41F44}" uniqueName="5" name="Designation" queryTableFieldId="5" dataDxfId="48"/>
    <tableColumn id="6" xr3:uid="{78CCE0AA-C426-48A2-9C9F-C7FD9E916E42}" uniqueName="6" name="Supplier and ref" queryTableFieldId="6" dataDxfId="47"/>
    <tableColumn id="7" xr3:uid="{97C1A426-B683-4782-81E7-54C43CABE5DE}" uniqueName="7" name="Column1" queryTableFieldId="7" dataDxfId="46"/>
    <tableColumn id="8" xr3:uid="{416DEE51-9BEE-4225-8B54-F5BF6C08F6B9}" uniqueName="8" name="Needed quantity" queryTableFieldId="8" dataDxfId="45"/>
    <tableColumn id="9" xr3:uid="{32E30C7A-53F3-408B-8293-6A9B9B9AC1DF}" uniqueName="9" name="-" queryTableFieldId="9" dataDxfId="44"/>
    <tableColumn id="10" xr3:uid="{D6C8BC49-3D09-492D-B4A4-089F31B50C42}" uniqueName="10" name="LCSC" queryTableFieldId="10" dataDxfId="43"/>
    <tableColumn id="11" xr3:uid="{CC107E5C-29C8-4CCE-8483-88216043072D}" uniqueName="11" name="MOUSER" queryTableFieldId="11" dataDxfId="42"/>
    <tableColumn id="12" xr3:uid="{E7EC2C75-44FB-4D79-B6F6-F9B011D6211F}" uniqueName="12" name="Already in another pcb" queryTableFieldId="12" dataDxfId="41"/>
    <tableColumn id="13" xr3:uid="{0C385EB9-878B-4C2B-96C7-A160EB6C8B7B}" uniqueName="13" name="--" queryTableFieldId="13" dataDxfId="40"/>
    <tableColumn id="14" xr3:uid="{D8B5CD8B-44BF-4725-BCDE-21E44EEBF205}" uniqueName="14" name="Mrf#" queryTableFieldId="14" dataDxfId="39"/>
    <tableColumn id="15" xr3:uid="{3EF7D800-5FBD-4B86-AE11-67617320382F}" uniqueName="15" name="Mfr." queryTableFieldId="15" dataDxfId="38"/>
    <tableColumn id="16" xr3:uid="{6D0D8B28-79C8-4C77-9563-E1F5D6B87774}" uniqueName="16" name="Order Qty." queryTableFieldId="16" dataDxfId="37" dataCellStyle="Currency"/>
    <tableColumn id="17" xr3:uid="{4CE14486-CC74-4467-B9AD-79C240E52F93}" uniqueName="17" name="Unit Price(USD)" queryTableFieldId="17" dataDxfId="36" dataCellStyle="Currency"/>
    <tableColumn id="18" xr3:uid="{2F6A5361-9124-455F-B3F1-383018915EB3}" uniqueName="18" name="Ext.Price(USD)" queryTableFieldId="18" dataDxfId="35" dataCellStyle="Currency"/>
    <tableColumn id="19" xr3:uid="{78F98052-EB98-43FF-8EE5-602D557FB4D3}" uniqueName="19" name="LCSC#/MOUSER" queryTableFieldId="19" dataDxfId="34"/>
    <tableColumn id="20" xr3:uid="{4F449396-32DC-4534-BFE5-AA61E6C0DC5A}" uniqueName="20" name="Package" queryTableFieldId="20" dataDxfId="33"/>
    <tableColumn id="21" xr3:uid="{26D2A300-326B-49F5-84C9-02EB05291F90}" uniqueName="21" name="Min" queryTableFieldId="21" dataDxfId="32"/>
    <tableColumn id="22" xr3:uid="{5CAF8612-E695-4A48-836A-F8A9EDFB3CB8}" uniqueName="22" name="Mult" queryTableFieldId="22" dataDxfId="31"/>
    <tableColumn id="23" xr3:uid="{9A05AEF9-585A-4855-B11C-CAE738DD58FA}" uniqueName="23" name="SPQ" queryTableFieldId="23" dataDxfId="30"/>
    <tableColumn id="24" xr3:uid="{3D7F11A3-37D2-4805-AEBA-B9E26E5E28E9}" uniqueName="24" name="Availability" queryTableFieldId="24" dataDxfId="29"/>
    <tableColumn id="25" xr3:uid="{933DBD96-9E4F-43F7-A800-CD83B0A44E24}" uniqueName="25" name="Stock Status" queryTableFieldId="25" dataDxfId="28"/>
    <tableColumn id="26" xr3:uid="{32899468-D5AC-4CCC-BF0C-B9A3CB2B5492}" uniqueName="26" name="Customer Notes" queryTableFieldId="26" dataDxfId="27"/>
    <tableColumn id="27" xr3:uid="{8CDB5DD7-778C-4CF7-A3C5-BE2C00EB1D37}" uniqueName="27" name="Description" queryTableFieldId="27" dataDxfId="26"/>
    <tableColumn id="28" xr3:uid="{F1DA22D8-5468-4D00-B4F4-CB4FD27BE53B}" uniqueName="28" name="Matched status" queryTableFieldId="28" dataDxfId="25"/>
    <tableColumn id="29" xr3:uid="{687D4C7B-94A2-47A4-BECA-516084FF4352}" uniqueName="29" name="Product Link" queryTableFieldId="29" dataDxfId="24" dataCellStyle="Hyperlink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8C07D9-C534-4C2D-B737-344400F670C4}" name="Display_panel" displayName="Display_panel" ref="A1:G10" tableType="queryTable" totalsRowShown="0">
  <autoFilter ref="A1:G10" xr:uid="{358C07D9-C534-4C2D-B737-344400F670C4}"/>
  <tableColumns count="7">
    <tableColumn id="1" xr3:uid="{0F19A646-43F4-4862-8B93-9080417C7268}" uniqueName="1" name="Id" queryTableFieldId="1"/>
    <tableColumn id="2" xr3:uid="{7198E0C1-4967-4BBD-9D55-A70B2A61C192}" uniqueName="2" name="Designator" queryTableFieldId="2" dataDxfId="23"/>
    <tableColumn id="3" xr3:uid="{C2A2451A-0F59-404F-AA66-0DD98A96CB6B}" uniqueName="3" name="Footprint" queryTableFieldId="3" dataDxfId="22"/>
    <tableColumn id="4" xr3:uid="{57EDD4F3-19D9-42B5-A4D4-17B50797C919}" uniqueName="4" name="Quantity" queryTableFieldId="4"/>
    <tableColumn id="5" xr3:uid="{AC6AFA26-0E57-46AC-BB98-3942162B3F06}" uniqueName="5" name="Designation" queryTableFieldId="5" dataDxfId="21"/>
    <tableColumn id="6" xr3:uid="{3285DEC9-31B3-4F44-B1AD-0B3851AF39BA}" uniqueName="6" name="Supplier and ref" queryTableFieldId="6" dataDxfId="20"/>
    <tableColumn id="7" xr3:uid="{AA28C35C-D1F9-457B-A91B-14B4A9A05C17}" uniqueName="7" name="Column1" queryTableFieldId="7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CA4BD-F74B-49A5-B3B3-BA5C16769899}" name="Artnet_DMX_Converter" displayName="Artnet_DMX_Converter" ref="A1:L75" tableType="queryTable" totalsRowShown="0">
  <autoFilter ref="A1:L75" xr:uid="{C4BCA4BD-F74B-49A5-B3B3-BA5C16769899}"/>
  <sortState xmlns:xlrd2="http://schemas.microsoft.com/office/spreadsheetml/2017/richdata2" ref="A2:K75">
    <sortCondition ref="B1:B75"/>
  </sortState>
  <tableColumns count="12">
    <tableColumn id="1" xr3:uid="{ADE8F525-CFD6-41FB-A869-878D887125F2}" uniqueName="1" name="Id" queryTableFieldId="1"/>
    <tableColumn id="2" xr3:uid="{06802B0A-38DB-4939-98FE-D825FBBCF621}" uniqueName="2" name="Designator" queryTableFieldId="2" dataDxfId="18"/>
    <tableColumn id="3" xr3:uid="{A0E49D32-4602-4A36-A99A-61255BE52689}" uniqueName="3" name="Footprint" queryTableFieldId="3" dataDxfId="17"/>
    <tableColumn id="4" xr3:uid="{2639D562-1AB7-4369-9C38-6DE58E9DE4E0}" uniqueName="4" name="Quantity" queryTableFieldId="4"/>
    <tableColumn id="5" xr3:uid="{E918130A-210D-4D0D-B354-0424657F3D8A}" uniqueName="5" name="Designation" queryTableFieldId="5" dataDxfId="16"/>
    <tableColumn id="6" xr3:uid="{2852533A-8BB7-4324-9C65-B20AD7F9634F}" uniqueName="6" name="Supplier and ref" queryTableFieldId="6" dataDxfId="15"/>
    <tableColumn id="7" xr3:uid="{FCD08B98-7123-4ED3-95E6-F7165F6496EF}" uniqueName="7" name="Column1" queryTableFieldId="7" dataDxfId="14"/>
    <tableColumn id="10" xr3:uid="{D704FAE8-15F6-48B1-9F78-ECE42633C6A6}" uniqueName="10" name="Needed quantity" queryTableFieldId="9" dataDxfId="13">
      <calculatedColumnFormula>2*Artnet_DMX_Converter[[#This Row],[Quantity]]</calculatedColumnFormula>
    </tableColumn>
    <tableColumn id="8" xr3:uid="{912033B7-820A-4CB4-A444-84EA4F66B927}" uniqueName="8" name="_1" queryTableFieldId="8" dataDxfId="12"/>
    <tableColumn id="11" xr3:uid="{D185F272-ECD8-4D0C-A8C0-5C517F5CB2C3}" uniqueName="11" name="Column12" queryTableFieldId="10" dataDxfId="11"/>
    <tableColumn id="12" xr3:uid="{8235DE14-4219-4B94-81A0-74DA669B2200}" uniqueName="12" name="Column13" queryTableFieldId="11" dataDxfId="10"/>
    <tableColumn id="13" xr3:uid="{0CB54720-3FD3-41A1-B176-167D3F8B9C1F}" uniqueName="13" name="Column14" queryTableFieldId="12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69F78E-5E6C-4F2E-A421-D9864D32DBFF}" name="WIFI_Module" displayName="WIFI_Module" ref="A1:H12" tableType="queryTable" totalsRowShown="0">
  <autoFilter ref="A1:H12" xr:uid="{7769F78E-5E6C-4F2E-A421-D9864D32DBFF}"/>
  <tableColumns count="8">
    <tableColumn id="1" xr3:uid="{BEBDD4F5-047E-42EE-AF7A-AEC96CC412EB}" uniqueName="1" name="Id" queryTableFieldId="1"/>
    <tableColumn id="2" xr3:uid="{70C04B8F-9B5D-4AE8-811E-7A325F5B3B32}" uniqueName="2" name="Designator" queryTableFieldId="2" dataDxfId="8"/>
    <tableColumn id="3" xr3:uid="{5D3B3C5B-89C3-4145-BEFA-49CD552602EC}" uniqueName="3" name="Footprint" queryTableFieldId="3" dataDxfId="7"/>
    <tableColumn id="4" xr3:uid="{C6D2277C-C53C-42BD-B1B1-3F5BD927522F}" uniqueName="4" name="Quantity" queryTableFieldId="4"/>
    <tableColumn id="5" xr3:uid="{50C12BFC-08EC-4014-8DE1-7360FE30FFEE}" uniqueName="5" name="Designation" queryTableFieldId="5" dataDxfId="6"/>
    <tableColumn id="6" xr3:uid="{5E872B7B-44C6-474C-8EE6-2996F8257863}" uniqueName="6" name="Supplier and ref" queryTableFieldId="6" dataDxfId="5"/>
    <tableColumn id="7" xr3:uid="{8616BBA3-0AE5-4D84-BE4F-A09C69812E1F}" uniqueName="7" name="Column1" queryTableFieldId="7" dataDxfId="4"/>
    <tableColumn id="8" xr3:uid="{83C5AA2C-C2E2-4E7E-82D8-7C221C32DC65}" uniqueName="8" name="_1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C9136.html" TargetMode="External"/><Relationship Id="rId21" Type="http://schemas.openxmlformats.org/officeDocument/2006/relationships/hyperlink" Target="https://www.lcsc.com/product-detail/C241939.html" TargetMode="External"/><Relationship Id="rId42" Type="http://schemas.openxmlformats.org/officeDocument/2006/relationships/hyperlink" Target="https://www.lcsc.com/product-detail/C137751.html" TargetMode="External"/><Relationship Id="rId47" Type="http://schemas.openxmlformats.org/officeDocument/2006/relationships/hyperlink" Target="https://www.lcsc.com/product-detail/C137742.html" TargetMode="External"/><Relationship Id="rId63" Type="http://schemas.openxmlformats.org/officeDocument/2006/relationships/hyperlink" Target="https://www.lcsc.com/product-detail/C5366868.html" TargetMode="External"/><Relationship Id="rId68" Type="http://schemas.openxmlformats.org/officeDocument/2006/relationships/hyperlink" Target="https://www.lcsc.com/product-detail/C82045.html" TargetMode="External"/><Relationship Id="rId84" Type="http://schemas.openxmlformats.org/officeDocument/2006/relationships/hyperlink" Target="https://nl.mouser.com/ProductDetail/Raspberry-Pi/SC151013-A4?qs=jcD%2FCkGBYeM5TtP1Ew4BSg%3D%3D" TargetMode="External"/><Relationship Id="rId89" Type="http://schemas.openxmlformats.org/officeDocument/2006/relationships/hyperlink" Target="https://www.lcsc.com/product-detail/C109318.html" TargetMode="External"/><Relationship Id="rId16" Type="http://schemas.openxmlformats.org/officeDocument/2006/relationships/hyperlink" Target="https://www.lcsc.com/product-detail/C342785.html" TargetMode="External"/><Relationship Id="rId11" Type="http://schemas.openxmlformats.org/officeDocument/2006/relationships/hyperlink" Target="https://www.lcsc.com/product-detail/C296713.html" TargetMode="External"/><Relationship Id="rId32" Type="http://schemas.openxmlformats.org/officeDocument/2006/relationships/hyperlink" Target="https://www.lcsc.com/product-detail/C383369.html" TargetMode="External"/><Relationship Id="rId37" Type="http://schemas.openxmlformats.org/officeDocument/2006/relationships/hyperlink" Target="https://www.lcsc.com/product-detail/C98220.html" TargetMode="External"/><Relationship Id="rId53" Type="http://schemas.openxmlformats.org/officeDocument/2006/relationships/hyperlink" Target="https://www.lcsc.com/product-detail/C102680.html" TargetMode="External"/><Relationship Id="rId58" Type="http://schemas.openxmlformats.org/officeDocument/2006/relationships/hyperlink" Target="https://www.lcsc.com/product-detail/C7519.html" TargetMode="External"/><Relationship Id="rId74" Type="http://schemas.openxmlformats.org/officeDocument/2006/relationships/hyperlink" Target="https://www.lcsc.com/product-detail/C3037644.html" TargetMode="External"/><Relationship Id="rId79" Type="http://schemas.openxmlformats.org/officeDocument/2006/relationships/hyperlink" Target="https://www.lcsc.com/product-detail/C255886.html" TargetMode="External"/><Relationship Id="rId5" Type="http://schemas.openxmlformats.org/officeDocument/2006/relationships/hyperlink" Target="https://www.lcsc.com/product-detail/C84723.html" TargetMode="External"/><Relationship Id="rId90" Type="http://schemas.openxmlformats.org/officeDocument/2006/relationships/hyperlink" Target="https://www.tinytronics.nl/en/power/batteries/li-po/pkcell-li-po-battery-3.7v-2000mah-jst-ph-lp803860" TargetMode="External"/><Relationship Id="rId22" Type="http://schemas.openxmlformats.org/officeDocument/2006/relationships/hyperlink" Target="https://www.lcsc.com/product-detail/C2902532.html" TargetMode="External"/><Relationship Id="rId27" Type="http://schemas.openxmlformats.org/officeDocument/2006/relationships/hyperlink" Target="https://www.lcsc.com/product-detail/C2834799.html" TargetMode="External"/><Relationship Id="rId43" Type="http://schemas.openxmlformats.org/officeDocument/2006/relationships/hyperlink" Target="https://www.lcsc.com/product-detail/C100044.html" TargetMode="External"/><Relationship Id="rId48" Type="http://schemas.openxmlformats.org/officeDocument/2006/relationships/hyperlink" Target="https://www.lcsc.com/product-detail/C273752.html" TargetMode="External"/><Relationship Id="rId64" Type="http://schemas.openxmlformats.org/officeDocument/2006/relationships/hyperlink" Target="https://www.lcsc.com/product-detail/C9943.html" TargetMode="External"/><Relationship Id="rId69" Type="http://schemas.openxmlformats.org/officeDocument/2006/relationships/hyperlink" Target="https://www.lcsc.com/product-detail/C202365.html" TargetMode="External"/><Relationship Id="rId8" Type="http://schemas.openxmlformats.org/officeDocument/2006/relationships/hyperlink" Target="https://www.lcsc.com/product-detail/C15008.html" TargetMode="External"/><Relationship Id="rId51" Type="http://schemas.openxmlformats.org/officeDocument/2006/relationships/hyperlink" Target="https://www.lcsc.com/product-detail/C138021.html" TargetMode="External"/><Relationship Id="rId72" Type="http://schemas.openxmlformats.org/officeDocument/2006/relationships/hyperlink" Target="https://www.lcsc.com/product-detail/C60490.html" TargetMode="External"/><Relationship Id="rId80" Type="http://schemas.openxmlformats.org/officeDocument/2006/relationships/hyperlink" Target="https://www.lcsc.com/product-detail/C5329582.html" TargetMode="External"/><Relationship Id="rId85" Type="http://schemas.openxmlformats.org/officeDocument/2006/relationships/hyperlink" Target="https://nl.mouser.com/ProductDetail/Neutrik/NLR-LB?qs=Imq1NPwxi76abBKVKeKReg%3D%3D" TargetMode="External"/><Relationship Id="rId93" Type="http://schemas.openxmlformats.org/officeDocument/2006/relationships/table" Target="../tables/table2.xml"/><Relationship Id="rId3" Type="http://schemas.openxmlformats.org/officeDocument/2006/relationships/hyperlink" Target="https://www.lcsc.com/product-detail/C86285.html" TargetMode="External"/><Relationship Id="rId12" Type="http://schemas.openxmlformats.org/officeDocument/2006/relationships/hyperlink" Target="https://www.lcsc.com/product-detail/C15849.html" TargetMode="External"/><Relationship Id="rId17" Type="http://schemas.openxmlformats.org/officeDocument/2006/relationships/hyperlink" Target="https://www.lcsc.com/product-detail/C153291.html" TargetMode="External"/><Relationship Id="rId25" Type="http://schemas.openxmlformats.org/officeDocument/2006/relationships/hyperlink" Target="https://www.lcsc.com/product-detail/C160403.html" TargetMode="External"/><Relationship Id="rId33" Type="http://schemas.openxmlformats.org/officeDocument/2006/relationships/hyperlink" Target="https://www.lcsc.com/product-detail/C2890035.html" TargetMode="External"/><Relationship Id="rId38" Type="http://schemas.openxmlformats.org/officeDocument/2006/relationships/hyperlink" Target="https://www.lcsc.com/product-detail/C108661.html" TargetMode="External"/><Relationship Id="rId46" Type="http://schemas.openxmlformats.org/officeDocument/2006/relationships/hyperlink" Target="https://www.lcsc.com/product-detail/C137761.html" TargetMode="External"/><Relationship Id="rId59" Type="http://schemas.openxmlformats.org/officeDocument/2006/relationships/hyperlink" Target="https://www.lcsc.com/product-detail/C32843.html" TargetMode="External"/><Relationship Id="rId67" Type="http://schemas.openxmlformats.org/officeDocument/2006/relationships/hyperlink" Target="https://www.lcsc.com/product-detail/C587969.html" TargetMode="External"/><Relationship Id="rId20" Type="http://schemas.openxmlformats.org/officeDocument/2006/relationships/hyperlink" Target="https://www.lcsc.com/product-detail/C908680.html" TargetMode="External"/><Relationship Id="rId41" Type="http://schemas.openxmlformats.org/officeDocument/2006/relationships/hyperlink" Target="https://www.lcsc.com/product-detail/C114621.html" TargetMode="External"/><Relationship Id="rId54" Type="http://schemas.openxmlformats.org/officeDocument/2006/relationships/hyperlink" Target="https://www.lcsc.com/product-detail/C110924.html" TargetMode="External"/><Relationship Id="rId62" Type="http://schemas.openxmlformats.org/officeDocument/2006/relationships/hyperlink" Target="https://www.lcsc.com/product-detail/C20625731.html" TargetMode="External"/><Relationship Id="rId70" Type="http://schemas.openxmlformats.org/officeDocument/2006/relationships/hyperlink" Target="https://www.lcsc.com/product-detail/C129757.html" TargetMode="External"/><Relationship Id="rId75" Type="http://schemas.openxmlformats.org/officeDocument/2006/relationships/hyperlink" Target="https://www.lcsc.com/product-detail/C3039698.html" TargetMode="External"/><Relationship Id="rId83" Type="http://schemas.openxmlformats.org/officeDocument/2006/relationships/hyperlink" Target="https://nl.mouser.com/ProductDetail/Coilcraft/FA2805-CLD?qs=ZYnrCdKdyef%252BZjF1kFFBVA%3D%3D" TargetMode="External"/><Relationship Id="rId88" Type="http://schemas.openxmlformats.org/officeDocument/2006/relationships/hyperlink" Target="https://nl.mouser.com/ProductDetail/Neutrik/NC3FAH2-LR-DAE?qs=4ASt3YYao0XSl5KoEkZrIA%3D%3D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C144394.html" TargetMode="External"/><Relationship Id="rId6" Type="http://schemas.openxmlformats.org/officeDocument/2006/relationships/hyperlink" Target="https://www.lcsc.com/product-detail/C1634.html" TargetMode="External"/><Relationship Id="rId15" Type="http://schemas.openxmlformats.org/officeDocument/2006/relationships/hyperlink" Target="https://www.lcsc.com/product-detail/C15725.html" TargetMode="External"/><Relationship Id="rId23" Type="http://schemas.openxmlformats.org/officeDocument/2006/relationships/hyperlink" Target="https://www.lcsc.com/product-detail/C7280953.html" TargetMode="External"/><Relationship Id="rId28" Type="http://schemas.openxmlformats.org/officeDocument/2006/relationships/hyperlink" Target="https://www.lcsc.com/product-detail/C165948.html" TargetMode="External"/><Relationship Id="rId36" Type="http://schemas.openxmlformats.org/officeDocument/2006/relationships/hyperlink" Target="https://www.lcsc.com/product-detail/C22548.html" TargetMode="External"/><Relationship Id="rId49" Type="http://schemas.openxmlformats.org/officeDocument/2006/relationships/hyperlink" Target="https://www.lcsc.com/product-detail/C482869.html" TargetMode="External"/><Relationship Id="rId57" Type="http://schemas.openxmlformats.org/officeDocument/2006/relationships/hyperlink" Target="https://www.lcsc.com/product-detail/C97521.html" TargetMode="External"/><Relationship Id="rId10" Type="http://schemas.openxmlformats.org/officeDocument/2006/relationships/hyperlink" Target="https://www.lcsc.com/product-detail/C1613.html" TargetMode="External"/><Relationship Id="rId31" Type="http://schemas.openxmlformats.org/officeDocument/2006/relationships/hyperlink" Target="https://www.lcsc.com/product-detail/C110250.html" TargetMode="External"/><Relationship Id="rId44" Type="http://schemas.openxmlformats.org/officeDocument/2006/relationships/hyperlink" Target="https://www.lcsc.com/product-detail/C137738.html" TargetMode="External"/><Relationship Id="rId52" Type="http://schemas.openxmlformats.org/officeDocument/2006/relationships/hyperlink" Target="https://www.lcsc.com/product-detail/C106235.html" TargetMode="External"/><Relationship Id="rId60" Type="http://schemas.openxmlformats.org/officeDocument/2006/relationships/hyperlink" Target="https://www.lcsc.com/product-detail/C510771.html" TargetMode="External"/><Relationship Id="rId65" Type="http://schemas.openxmlformats.org/officeDocument/2006/relationships/hyperlink" Target="https://www.lcsc.com/product-detail/C7465811.html" TargetMode="External"/><Relationship Id="rId73" Type="http://schemas.openxmlformats.org/officeDocument/2006/relationships/hyperlink" Target="https://www.lcsc.com/product-detail/C327228.html" TargetMode="External"/><Relationship Id="rId78" Type="http://schemas.openxmlformats.org/officeDocument/2006/relationships/hyperlink" Target="https://www.lcsc.com/product-detail/C48929155.html" TargetMode="External"/><Relationship Id="rId81" Type="http://schemas.openxmlformats.org/officeDocument/2006/relationships/hyperlink" Target="https://www.lcsc.com/product-detail/C122260.html" TargetMode="External"/><Relationship Id="rId86" Type="http://schemas.openxmlformats.org/officeDocument/2006/relationships/hyperlink" Target="https://nl.mouser.com/ProductDetail/Neutrik/NE8FAH-LR-DAE?qs=4ASt3YYao0WhX9cY4j%252BFSA%3D%3D" TargetMode="External"/><Relationship Id="rId94" Type="http://schemas.openxmlformats.org/officeDocument/2006/relationships/table" Target="../tables/table3.xml"/><Relationship Id="rId4" Type="http://schemas.openxmlformats.org/officeDocument/2006/relationships/hyperlink" Target="https://www.lcsc.com/product-detail/C368809.html" TargetMode="External"/><Relationship Id="rId9" Type="http://schemas.openxmlformats.org/officeDocument/2006/relationships/hyperlink" Target="https://www.lcsc.com/product-detail/C1705.html" TargetMode="External"/><Relationship Id="rId13" Type="http://schemas.openxmlformats.org/officeDocument/2006/relationships/hyperlink" Target="https://www.lcsc.com/product-detail/C19702.html" TargetMode="External"/><Relationship Id="rId18" Type="http://schemas.openxmlformats.org/officeDocument/2006/relationships/hyperlink" Target="https://www.lcsc.com/product-detail/C84709.html" TargetMode="External"/><Relationship Id="rId39" Type="http://schemas.openxmlformats.org/officeDocument/2006/relationships/hyperlink" Target="https://www.lcsc.com/product-detail/C105578.html" TargetMode="External"/><Relationship Id="rId34" Type="http://schemas.openxmlformats.org/officeDocument/2006/relationships/hyperlink" Target="https://www.lcsc.com/product-detail/C128459.html" TargetMode="External"/><Relationship Id="rId50" Type="http://schemas.openxmlformats.org/officeDocument/2006/relationships/hyperlink" Target="https://www.lcsc.com/product-detail/C138002.html" TargetMode="External"/><Relationship Id="rId55" Type="http://schemas.openxmlformats.org/officeDocument/2006/relationships/hyperlink" Target="https://www.lcsc.com/product-detail/C231329.html" TargetMode="External"/><Relationship Id="rId76" Type="http://schemas.openxmlformats.org/officeDocument/2006/relationships/hyperlink" Target="https://www.lcsc.com/product-detail/C434806.html" TargetMode="External"/><Relationship Id="rId7" Type="http://schemas.openxmlformats.org/officeDocument/2006/relationships/hyperlink" Target="https://www.lcsc.com/product-detail/C22396.html" TargetMode="External"/><Relationship Id="rId71" Type="http://schemas.openxmlformats.org/officeDocument/2006/relationships/hyperlink" Target="https://www.lcsc.com/product-detail/C76769.html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www.lcsc.com/product-detail/C1525.html" TargetMode="External"/><Relationship Id="rId29" Type="http://schemas.openxmlformats.org/officeDocument/2006/relationships/hyperlink" Target="https://www.lcsc.com/product-detail/C42411119.html" TargetMode="External"/><Relationship Id="rId24" Type="http://schemas.openxmlformats.org/officeDocument/2006/relationships/hyperlink" Target="https://www.lcsc.com/product-detail/C7080765.html" TargetMode="External"/><Relationship Id="rId40" Type="http://schemas.openxmlformats.org/officeDocument/2006/relationships/hyperlink" Target="https://www.lcsc.com/product-detail/C137798.html" TargetMode="External"/><Relationship Id="rId45" Type="http://schemas.openxmlformats.org/officeDocument/2006/relationships/hyperlink" Target="https://www.lcsc.com/product-detail/C123417.html" TargetMode="External"/><Relationship Id="rId66" Type="http://schemas.openxmlformats.org/officeDocument/2006/relationships/hyperlink" Target="https://www.lcsc.com/product-detail/C143748.html" TargetMode="External"/><Relationship Id="rId87" Type="http://schemas.openxmlformats.org/officeDocument/2006/relationships/hyperlink" Target="https://nl.mouser.com/ProductDetail/Neutrik/NC5FAH1-LR-DAE?qs=6avfeC6zeS5u3oz5Q9UQlw%3D%3D" TargetMode="External"/><Relationship Id="rId61" Type="http://schemas.openxmlformats.org/officeDocument/2006/relationships/hyperlink" Target="https://www.lcsc.com/product-detail/C398374.html" TargetMode="External"/><Relationship Id="rId82" Type="http://schemas.openxmlformats.org/officeDocument/2006/relationships/hyperlink" Target="https://nl.mouser.com/ProductDetail/Nordic-Semiconductor/nPM1300-QEAA-R7?qs=3pZoU%2F6IRTj0hxAp51B2zA%3D%3D" TargetMode="External"/><Relationship Id="rId19" Type="http://schemas.openxmlformats.org/officeDocument/2006/relationships/hyperlink" Target="https://www.lcsc.com/product-detail/C19272974.html" TargetMode="External"/><Relationship Id="rId14" Type="http://schemas.openxmlformats.org/officeDocument/2006/relationships/hyperlink" Target="https://www.lcsc.com/product-detail/C23630.html" TargetMode="External"/><Relationship Id="rId30" Type="http://schemas.openxmlformats.org/officeDocument/2006/relationships/hyperlink" Target="https://www.lcsc.com/product-detail/C844978.html" TargetMode="External"/><Relationship Id="rId35" Type="http://schemas.openxmlformats.org/officeDocument/2006/relationships/hyperlink" Target="https://www.lcsc.com/product-detail/C401766.html" TargetMode="External"/><Relationship Id="rId56" Type="http://schemas.openxmlformats.org/officeDocument/2006/relationships/hyperlink" Target="https://www.lcsc.com/product-detail/C132031.html" TargetMode="External"/><Relationship Id="rId77" Type="http://schemas.openxmlformats.org/officeDocument/2006/relationships/hyperlink" Target="https://www.lcsc.com/product-detail/C49242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93D4-B4DA-4789-A163-7A7FEBE93979}">
  <dimension ref="A1:AV122"/>
  <sheetViews>
    <sheetView tabSelected="1" topLeftCell="F105" zoomScale="205" zoomScaleNormal="205" workbookViewId="0">
      <selection activeCell="N123" sqref="N123"/>
    </sheetView>
  </sheetViews>
  <sheetFormatPr defaultRowHeight="15"/>
  <cols>
    <col min="2" max="2" width="18" customWidth="1"/>
    <col min="3" max="3" width="43" customWidth="1"/>
    <col min="5" max="5" width="31.140625" customWidth="1"/>
    <col min="10" max="10" width="10.7109375" customWidth="1"/>
    <col min="11" max="11" width="11.28515625" customWidth="1"/>
    <col min="12" max="12" width="24.28515625" customWidth="1"/>
    <col min="14" max="14" width="46.85546875" style="14" customWidth="1"/>
    <col min="15" max="15" width="9.140625" style="14"/>
    <col min="16" max="16" width="9.140625" style="15"/>
    <col min="17" max="18" width="9.140625" style="19" customWidth="1"/>
    <col min="19" max="19" width="21" style="14" customWidth="1"/>
    <col min="20" max="20" width="21.85546875" style="14" customWidth="1"/>
    <col min="21" max="24" width="9.140625" style="14"/>
    <col min="25" max="25" width="14" style="14" customWidth="1"/>
    <col min="26" max="26" width="9.140625" style="14"/>
    <col min="27" max="27" width="43.28515625" style="14" customWidth="1"/>
    <col min="28" max="28" width="9.140625" style="14"/>
    <col min="29" max="29" width="104.5703125" style="14" customWidth="1"/>
  </cols>
  <sheetData>
    <row r="1" spans="1:29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185</v>
      </c>
      <c r="I1" t="s">
        <v>527</v>
      </c>
      <c r="J1" t="s">
        <v>225</v>
      </c>
      <c r="K1" t="s">
        <v>226</v>
      </c>
      <c r="L1" t="s">
        <v>623</v>
      </c>
      <c r="M1" s="4" t="s">
        <v>622</v>
      </c>
      <c r="N1" s="5" t="s">
        <v>600</v>
      </c>
      <c r="O1" s="5" t="s">
        <v>601</v>
      </c>
      <c r="P1" s="10" t="s">
        <v>602</v>
      </c>
      <c r="Q1" s="11" t="s">
        <v>603</v>
      </c>
      <c r="R1" s="11" t="s">
        <v>604</v>
      </c>
      <c r="S1" s="5" t="s">
        <v>653</v>
      </c>
      <c r="T1" s="5" t="s">
        <v>605</v>
      </c>
      <c r="U1" s="5" t="s">
        <v>606</v>
      </c>
      <c r="V1" s="5" t="s">
        <v>607</v>
      </c>
      <c r="W1" s="5" t="s">
        <v>608</v>
      </c>
      <c r="X1" s="5" t="s">
        <v>609</v>
      </c>
      <c r="Y1" s="5" t="s">
        <v>610</v>
      </c>
      <c r="Z1" s="5" t="s">
        <v>611</v>
      </c>
      <c r="AA1" s="5" t="s">
        <v>612</v>
      </c>
      <c r="AB1" s="5" t="s">
        <v>613</v>
      </c>
      <c r="AC1" s="5" t="s">
        <v>614</v>
      </c>
    </row>
    <row r="2" spans="1:29" ht="15" customHeight="1">
      <c r="A2">
        <v>17</v>
      </c>
      <c r="B2" t="s">
        <v>48</v>
      </c>
      <c r="C2" t="s">
        <v>49</v>
      </c>
      <c r="D2">
        <v>1</v>
      </c>
      <c r="E2" t="s">
        <v>50</v>
      </c>
      <c r="F2" t="s">
        <v>11</v>
      </c>
      <c r="G2" t="s">
        <v>11</v>
      </c>
      <c r="H2">
        <f>2*Artnet_DMX_Converter5[[#This Row],[Quantity]]</f>
        <v>2</v>
      </c>
      <c r="I2" t="s">
        <v>11</v>
      </c>
      <c r="J2" t="s">
        <v>186</v>
      </c>
      <c r="N2" s="6" t="s">
        <v>229</v>
      </c>
      <c r="O2" s="6" t="s">
        <v>230</v>
      </c>
      <c r="P2" s="7">
        <v>10</v>
      </c>
      <c r="Q2" s="12">
        <v>5.0299999999999997E-2</v>
      </c>
      <c r="R2" s="12">
        <v>0.5</v>
      </c>
      <c r="S2" s="6" t="s">
        <v>231</v>
      </c>
      <c r="T2" s="6" t="s">
        <v>232</v>
      </c>
      <c r="U2" s="6">
        <v>10</v>
      </c>
      <c r="V2" s="6">
        <v>10</v>
      </c>
      <c r="W2" s="6">
        <v>1000</v>
      </c>
      <c r="X2" s="6">
        <v>61980</v>
      </c>
      <c r="Y2" s="6" t="s">
        <v>233</v>
      </c>
      <c r="Z2" s="6" t="s">
        <v>11</v>
      </c>
      <c r="AA2" s="6" t="s">
        <v>234</v>
      </c>
      <c r="AB2" s="8" t="s">
        <v>235</v>
      </c>
      <c r="AC2" s="23" t="s">
        <v>236</v>
      </c>
    </row>
    <row r="3" spans="1:29" ht="15" customHeight="1">
      <c r="A3">
        <v>6</v>
      </c>
      <c r="B3" t="s">
        <v>23</v>
      </c>
      <c r="C3" t="s">
        <v>16</v>
      </c>
      <c r="D3">
        <v>12</v>
      </c>
      <c r="E3" t="s">
        <v>22</v>
      </c>
      <c r="F3" t="s">
        <v>11</v>
      </c>
      <c r="G3" t="s">
        <v>11</v>
      </c>
      <c r="H3">
        <f>2*Artnet_DMX_Converter5[[#This Row],[Quantity]]</f>
        <v>24</v>
      </c>
      <c r="I3" t="s">
        <v>11</v>
      </c>
      <c r="J3" t="s">
        <v>186</v>
      </c>
      <c r="N3" s="6" t="s">
        <v>237</v>
      </c>
      <c r="O3" s="6" t="s">
        <v>238</v>
      </c>
      <c r="P3" s="7">
        <v>100</v>
      </c>
      <c r="Q3" s="12">
        <v>1.2999999999999999E-3</v>
      </c>
      <c r="R3" s="12">
        <v>0.13</v>
      </c>
      <c r="S3" s="6" t="s">
        <v>239</v>
      </c>
      <c r="T3" s="6">
        <v>402</v>
      </c>
      <c r="U3" s="6">
        <v>100</v>
      </c>
      <c r="V3" s="6">
        <v>100</v>
      </c>
      <c r="W3" s="6">
        <v>10000</v>
      </c>
      <c r="X3" s="6">
        <v>22016000</v>
      </c>
      <c r="Y3" s="6" t="s">
        <v>233</v>
      </c>
      <c r="Z3" s="6"/>
      <c r="AA3" s="6" t="s">
        <v>240</v>
      </c>
      <c r="AB3" s="8" t="s">
        <v>235</v>
      </c>
      <c r="AC3" s="23" t="s">
        <v>241</v>
      </c>
    </row>
    <row r="4" spans="1:29" ht="15" customHeight="1">
      <c r="A4">
        <v>37</v>
      </c>
      <c r="B4" t="s">
        <v>101</v>
      </c>
      <c r="C4" t="s">
        <v>16</v>
      </c>
      <c r="D4">
        <v>2</v>
      </c>
      <c r="E4" t="s">
        <v>102</v>
      </c>
      <c r="F4" t="s">
        <v>11</v>
      </c>
      <c r="G4" t="s">
        <v>11</v>
      </c>
      <c r="H4">
        <f>2*Artnet_DMX_Converter5[[#This Row],[Quantity]]</f>
        <v>4</v>
      </c>
      <c r="I4" t="s">
        <v>11</v>
      </c>
      <c r="J4" t="s">
        <v>186</v>
      </c>
      <c r="N4" s="6" t="s">
        <v>242</v>
      </c>
      <c r="O4" s="6" t="s">
        <v>238</v>
      </c>
      <c r="P4" s="7">
        <v>100</v>
      </c>
      <c r="Q4" s="12">
        <v>3.7000000000000002E-3</v>
      </c>
      <c r="R4" s="12">
        <v>0.37</v>
      </c>
      <c r="S4" s="6" t="s">
        <v>243</v>
      </c>
      <c r="T4" s="6">
        <v>402</v>
      </c>
      <c r="U4" s="6">
        <v>100</v>
      </c>
      <c r="V4" s="6">
        <v>100</v>
      </c>
      <c r="W4" s="6">
        <v>10000</v>
      </c>
      <c r="X4" s="6">
        <v>454800</v>
      </c>
      <c r="Y4" s="6" t="s">
        <v>233</v>
      </c>
      <c r="Z4" s="6"/>
      <c r="AA4" s="6" t="s">
        <v>244</v>
      </c>
      <c r="AB4" s="8" t="s">
        <v>235</v>
      </c>
      <c r="AC4" s="23" t="s">
        <v>245</v>
      </c>
    </row>
    <row r="5" spans="1:29" ht="15" customHeight="1">
      <c r="A5">
        <v>3</v>
      </c>
      <c r="B5" t="s">
        <v>189</v>
      </c>
      <c r="C5" t="s">
        <v>16</v>
      </c>
      <c r="D5">
        <v>4</v>
      </c>
      <c r="E5" t="s">
        <v>17</v>
      </c>
      <c r="F5" t="s">
        <v>11</v>
      </c>
      <c r="G5" t="s">
        <v>11</v>
      </c>
      <c r="H5">
        <f>2*Artnet_DMX_Converter5[[#This Row],[Quantity]]</f>
        <v>8</v>
      </c>
      <c r="I5" t="s">
        <v>11</v>
      </c>
      <c r="J5" t="s">
        <v>186</v>
      </c>
      <c r="N5" s="6" t="s">
        <v>246</v>
      </c>
      <c r="O5" s="6" t="s">
        <v>238</v>
      </c>
      <c r="P5" s="7">
        <v>50</v>
      </c>
      <c r="Q5" s="12">
        <v>6.1999999999999998E-3</v>
      </c>
      <c r="R5" s="12">
        <v>0.31</v>
      </c>
      <c r="S5" s="6" t="s">
        <v>247</v>
      </c>
      <c r="T5" s="6">
        <v>402</v>
      </c>
      <c r="U5" s="6">
        <v>50</v>
      </c>
      <c r="V5" s="6">
        <v>50</v>
      </c>
      <c r="W5" s="6">
        <v>10000</v>
      </c>
      <c r="X5" s="6">
        <v>5001000</v>
      </c>
      <c r="Y5" s="6" t="s">
        <v>233</v>
      </c>
      <c r="Z5" s="6"/>
      <c r="AA5" s="6" t="s">
        <v>248</v>
      </c>
      <c r="AB5" s="8" t="s">
        <v>235</v>
      </c>
      <c r="AC5" s="23" t="s">
        <v>249</v>
      </c>
    </row>
    <row r="6" spans="1:29" ht="15" customHeight="1">
      <c r="A6">
        <v>9</v>
      </c>
      <c r="B6" t="s">
        <v>29</v>
      </c>
      <c r="C6" t="s">
        <v>21</v>
      </c>
      <c r="D6">
        <v>5</v>
      </c>
      <c r="E6" t="s">
        <v>30</v>
      </c>
      <c r="F6" t="s">
        <v>11</v>
      </c>
      <c r="G6" t="s">
        <v>11</v>
      </c>
      <c r="H6">
        <f>2*Artnet_DMX_Converter5[[#This Row],[Quantity]]</f>
        <v>10</v>
      </c>
      <c r="I6" t="s">
        <v>11</v>
      </c>
      <c r="J6" t="s">
        <v>186</v>
      </c>
      <c r="N6" s="6" t="s">
        <v>303</v>
      </c>
      <c r="O6" s="6" t="s">
        <v>238</v>
      </c>
      <c r="P6" s="7">
        <v>100</v>
      </c>
      <c r="Q6" s="12">
        <v>6.1999999999999998E-3</v>
      </c>
      <c r="R6" s="12">
        <v>0.62</v>
      </c>
      <c r="S6" s="6" t="s">
        <v>304</v>
      </c>
      <c r="T6" s="6">
        <v>603</v>
      </c>
      <c r="U6" s="6">
        <v>100</v>
      </c>
      <c r="V6" s="6">
        <v>100</v>
      </c>
      <c r="W6" s="6">
        <v>4000</v>
      </c>
      <c r="X6" s="6">
        <v>18800</v>
      </c>
      <c r="Y6" s="6" t="s">
        <v>233</v>
      </c>
      <c r="Z6" s="6"/>
      <c r="AA6" s="6" t="s">
        <v>305</v>
      </c>
      <c r="AB6" s="8" t="s">
        <v>235</v>
      </c>
      <c r="AC6" s="23" t="s">
        <v>306</v>
      </c>
    </row>
    <row r="7" spans="1:29" ht="15" customHeight="1">
      <c r="A7">
        <v>15</v>
      </c>
      <c r="B7" t="s">
        <v>43</v>
      </c>
      <c r="C7" t="s">
        <v>21</v>
      </c>
      <c r="D7">
        <v>12</v>
      </c>
      <c r="E7" t="s">
        <v>44</v>
      </c>
      <c r="F7" t="s">
        <v>11</v>
      </c>
      <c r="G7" t="s">
        <v>11</v>
      </c>
      <c r="H7">
        <f>2*Artnet_DMX_Converter5[[#This Row],[Quantity]]</f>
        <v>24</v>
      </c>
      <c r="I7" t="s">
        <v>11</v>
      </c>
      <c r="J7" t="s">
        <v>186</v>
      </c>
      <c r="N7" s="6" t="s">
        <v>299</v>
      </c>
      <c r="O7" s="6" t="s">
        <v>238</v>
      </c>
      <c r="P7" s="7">
        <v>50</v>
      </c>
      <c r="Q7" s="12">
        <v>5.0000000000000001E-3</v>
      </c>
      <c r="R7" s="12">
        <v>0.25</v>
      </c>
      <c r="S7" s="6" t="s">
        <v>300</v>
      </c>
      <c r="T7" s="6">
        <v>603</v>
      </c>
      <c r="U7" s="6">
        <v>50</v>
      </c>
      <c r="V7" s="6">
        <v>50</v>
      </c>
      <c r="W7" s="6">
        <v>4000</v>
      </c>
      <c r="X7" s="6">
        <v>107650</v>
      </c>
      <c r="Y7" s="6" t="s">
        <v>233</v>
      </c>
      <c r="Z7" s="6"/>
      <c r="AA7" s="6" t="s">
        <v>301</v>
      </c>
      <c r="AB7" s="8" t="s">
        <v>235</v>
      </c>
      <c r="AC7" s="23" t="s">
        <v>302</v>
      </c>
    </row>
    <row r="8" spans="1:29" ht="15" customHeight="1">
      <c r="A8">
        <v>5</v>
      </c>
      <c r="B8" t="s">
        <v>20</v>
      </c>
      <c r="C8" t="s">
        <v>21</v>
      </c>
      <c r="D8">
        <v>29</v>
      </c>
      <c r="E8" t="s">
        <v>22</v>
      </c>
      <c r="F8" t="s">
        <v>11</v>
      </c>
      <c r="G8" t="s">
        <v>11</v>
      </c>
      <c r="H8">
        <f>2*Artnet_DMX_Converter5[[#This Row],[Quantity]]</f>
        <v>58</v>
      </c>
      <c r="I8" t="s">
        <v>11</v>
      </c>
      <c r="J8" t="s">
        <v>186</v>
      </c>
      <c r="N8" s="6" t="s">
        <v>290</v>
      </c>
      <c r="O8" s="6" t="s">
        <v>238</v>
      </c>
      <c r="P8" s="7">
        <v>100</v>
      </c>
      <c r="Q8" s="12">
        <v>6.4999999999999997E-3</v>
      </c>
      <c r="R8" s="12">
        <v>0.65</v>
      </c>
      <c r="S8" s="6" t="s">
        <v>291</v>
      </c>
      <c r="T8" s="6">
        <v>603</v>
      </c>
      <c r="U8" s="6">
        <v>50</v>
      </c>
      <c r="V8" s="6">
        <v>50</v>
      </c>
      <c r="W8" s="6">
        <v>4000</v>
      </c>
      <c r="X8" s="6">
        <v>175750</v>
      </c>
      <c r="Y8" s="6" t="s">
        <v>233</v>
      </c>
      <c r="Z8" s="6"/>
      <c r="AA8" s="6" t="s">
        <v>292</v>
      </c>
      <c r="AB8" s="8" t="s">
        <v>235</v>
      </c>
      <c r="AC8" s="23" t="s">
        <v>293</v>
      </c>
    </row>
    <row r="9" spans="1:29" ht="15" customHeight="1">
      <c r="A9">
        <v>63</v>
      </c>
      <c r="B9" t="s">
        <v>158</v>
      </c>
      <c r="C9" t="s">
        <v>159</v>
      </c>
      <c r="D9">
        <v>2</v>
      </c>
      <c r="E9" t="s">
        <v>140</v>
      </c>
      <c r="F9" t="s">
        <v>11</v>
      </c>
      <c r="G9" t="s">
        <v>11</v>
      </c>
      <c r="H9">
        <f>2*Artnet_DMX_Converter5[[#This Row],[Quantity]]</f>
        <v>4</v>
      </c>
      <c r="I9" t="s">
        <v>11</v>
      </c>
      <c r="J9" t="s">
        <v>186</v>
      </c>
      <c r="N9" s="6" t="s">
        <v>615</v>
      </c>
      <c r="O9" s="6" t="s">
        <v>616</v>
      </c>
      <c r="P9" s="7">
        <v>5</v>
      </c>
      <c r="Q9" s="12">
        <v>0.1812</v>
      </c>
      <c r="R9" s="12">
        <v>0.91</v>
      </c>
      <c r="S9" s="6" t="s">
        <v>617</v>
      </c>
      <c r="T9" s="6" t="s">
        <v>618</v>
      </c>
      <c r="U9" s="6">
        <v>5</v>
      </c>
      <c r="V9" s="6">
        <v>5</v>
      </c>
      <c r="W9" s="6">
        <v>2000</v>
      </c>
      <c r="X9" s="6">
        <v>1980</v>
      </c>
      <c r="Y9" s="6" t="s">
        <v>233</v>
      </c>
      <c r="Z9" s="6"/>
      <c r="AA9" s="6" t="s">
        <v>619</v>
      </c>
      <c r="AB9" s="9" t="s">
        <v>235</v>
      </c>
      <c r="AC9" s="23" t="s">
        <v>620</v>
      </c>
    </row>
    <row r="10" spans="1:29" ht="15" customHeight="1">
      <c r="A10">
        <v>50</v>
      </c>
      <c r="B10" t="s">
        <v>131</v>
      </c>
      <c r="C10" t="s">
        <v>21</v>
      </c>
      <c r="D10">
        <v>2</v>
      </c>
      <c r="E10" t="s">
        <v>132</v>
      </c>
      <c r="F10" t="s">
        <v>11</v>
      </c>
      <c r="G10" t="s">
        <v>11</v>
      </c>
      <c r="H10">
        <f>2*Artnet_DMX_Converter5[[#This Row],[Quantity]]</f>
        <v>4</v>
      </c>
      <c r="I10" t="s">
        <v>11</v>
      </c>
      <c r="J10" t="s">
        <v>186</v>
      </c>
      <c r="N10" s="6" t="s">
        <v>250</v>
      </c>
      <c r="O10" s="6" t="s">
        <v>238</v>
      </c>
      <c r="P10" s="7">
        <v>100</v>
      </c>
      <c r="Q10" s="12">
        <v>6.7999999999999996E-3</v>
      </c>
      <c r="R10" s="12">
        <v>0.68</v>
      </c>
      <c r="S10" s="6" t="s">
        <v>251</v>
      </c>
      <c r="T10" s="6">
        <v>603</v>
      </c>
      <c r="U10" s="6">
        <v>100</v>
      </c>
      <c r="V10" s="6">
        <v>100</v>
      </c>
      <c r="W10" s="6">
        <v>4000</v>
      </c>
      <c r="X10" s="6">
        <v>5300</v>
      </c>
      <c r="Y10" s="6" t="s">
        <v>233</v>
      </c>
      <c r="Z10" s="6"/>
      <c r="AA10" s="6" t="s">
        <v>252</v>
      </c>
      <c r="AB10" s="8" t="s">
        <v>235</v>
      </c>
      <c r="AC10" s="23" t="s">
        <v>253</v>
      </c>
    </row>
    <row r="11" spans="1:29" ht="15" customHeight="1">
      <c r="A11">
        <v>8</v>
      </c>
      <c r="B11" t="s">
        <v>27</v>
      </c>
      <c r="C11" t="s">
        <v>21</v>
      </c>
      <c r="D11">
        <v>2</v>
      </c>
      <c r="E11" t="s">
        <v>28</v>
      </c>
      <c r="F11" t="s">
        <v>11</v>
      </c>
      <c r="G11" t="s">
        <v>11</v>
      </c>
      <c r="H11">
        <f>2*Artnet_DMX_Converter5[[#This Row],[Quantity]]</f>
        <v>4</v>
      </c>
      <c r="I11" t="s">
        <v>11</v>
      </c>
      <c r="J11" t="s">
        <v>186</v>
      </c>
      <c r="N11" s="6" t="s">
        <v>254</v>
      </c>
      <c r="O11" s="6" t="s">
        <v>238</v>
      </c>
      <c r="P11" s="7">
        <v>100</v>
      </c>
      <c r="Q11" s="12">
        <v>5.0000000000000001E-3</v>
      </c>
      <c r="R11" s="12">
        <v>0.5</v>
      </c>
      <c r="S11" s="6" t="s">
        <v>255</v>
      </c>
      <c r="T11" s="6">
        <v>603</v>
      </c>
      <c r="U11" s="6">
        <v>100</v>
      </c>
      <c r="V11" s="6">
        <v>100</v>
      </c>
      <c r="W11" s="6">
        <v>4000</v>
      </c>
      <c r="X11" s="6">
        <v>1498600</v>
      </c>
      <c r="Y11" s="6" t="s">
        <v>233</v>
      </c>
      <c r="Z11" s="6"/>
      <c r="AA11" s="6" t="s">
        <v>256</v>
      </c>
      <c r="AB11" s="8" t="s">
        <v>235</v>
      </c>
      <c r="AC11" s="23" t="s">
        <v>257</v>
      </c>
    </row>
    <row r="12" spans="1:29" ht="15" customHeight="1">
      <c r="A12">
        <v>41</v>
      </c>
      <c r="B12" t="s">
        <v>110</v>
      </c>
      <c r="C12" t="s">
        <v>111</v>
      </c>
      <c r="D12">
        <v>3</v>
      </c>
      <c r="E12" t="s">
        <v>32</v>
      </c>
      <c r="F12" t="s">
        <v>11</v>
      </c>
      <c r="G12" t="s">
        <v>11</v>
      </c>
      <c r="H12">
        <f>2*Artnet_DMX_Converter5[[#This Row],[Quantity]]</f>
        <v>6</v>
      </c>
      <c r="I12" t="s">
        <v>11</v>
      </c>
      <c r="J12" t="s">
        <v>186</v>
      </c>
      <c r="N12" s="6" t="s">
        <v>294</v>
      </c>
      <c r="O12" s="6" t="s">
        <v>295</v>
      </c>
      <c r="P12" s="7">
        <v>10</v>
      </c>
      <c r="Q12" s="12">
        <v>0.1119</v>
      </c>
      <c r="R12" s="12">
        <v>1.1200000000000001</v>
      </c>
      <c r="S12" s="6" t="s">
        <v>296</v>
      </c>
      <c r="T12" s="6">
        <v>805</v>
      </c>
      <c r="U12" s="6">
        <v>5</v>
      </c>
      <c r="V12" s="6">
        <v>5</v>
      </c>
      <c r="W12" s="6">
        <v>2000</v>
      </c>
      <c r="X12" s="6">
        <v>5645</v>
      </c>
      <c r="Y12" s="6" t="s">
        <v>233</v>
      </c>
      <c r="Z12" s="6"/>
      <c r="AA12" s="6" t="s">
        <v>297</v>
      </c>
      <c r="AB12" s="8" t="s">
        <v>235</v>
      </c>
      <c r="AC12" s="23" t="s">
        <v>298</v>
      </c>
    </row>
    <row r="13" spans="1:29" ht="15" customHeight="1">
      <c r="A13">
        <v>57</v>
      </c>
      <c r="B13" t="s">
        <v>148</v>
      </c>
      <c r="C13" t="s">
        <v>149</v>
      </c>
      <c r="D13">
        <v>1</v>
      </c>
      <c r="E13" t="s">
        <v>140</v>
      </c>
      <c r="F13" t="s">
        <v>11</v>
      </c>
      <c r="G13" t="s">
        <v>11</v>
      </c>
      <c r="H13">
        <f>2*Artnet_DMX_Converter5[[#This Row],[Quantity]]</f>
        <v>2</v>
      </c>
      <c r="I13" t="s">
        <v>11</v>
      </c>
      <c r="J13" t="s">
        <v>186</v>
      </c>
      <c r="N13" s="6" t="s">
        <v>382</v>
      </c>
      <c r="O13" s="6" t="s">
        <v>383</v>
      </c>
      <c r="P13" s="7">
        <v>5</v>
      </c>
      <c r="Q13" s="12">
        <v>0.14280000000000001</v>
      </c>
      <c r="R13" s="12">
        <v>0.71</v>
      </c>
      <c r="S13" s="6" t="s">
        <v>384</v>
      </c>
      <c r="T13" s="6" t="s">
        <v>385</v>
      </c>
      <c r="U13" s="6">
        <v>5</v>
      </c>
      <c r="V13" s="6">
        <v>5</v>
      </c>
      <c r="W13" s="6">
        <v>1000</v>
      </c>
      <c r="X13" s="6">
        <v>1420</v>
      </c>
      <c r="Y13" s="6" t="s">
        <v>233</v>
      </c>
      <c r="Z13" s="6"/>
      <c r="AA13" s="6" t="s">
        <v>386</v>
      </c>
      <c r="AB13" s="9" t="s">
        <v>235</v>
      </c>
      <c r="AC13" s="23" t="s">
        <v>387</v>
      </c>
    </row>
    <row r="14" spans="1:29" ht="15" customHeight="1">
      <c r="A14">
        <v>69</v>
      </c>
      <c r="B14" t="s">
        <v>170</v>
      </c>
      <c r="C14" t="s">
        <v>21</v>
      </c>
      <c r="D14">
        <v>1</v>
      </c>
      <c r="E14" t="s">
        <v>171</v>
      </c>
      <c r="F14" t="s">
        <v>11</v>
      </c>
      <c r="G14" t="s">
        <v>11</v>
      </c>
      <c r="H14">
        <f>2*Artnet_DMX_Converter5[[#This Row],[Quantity]]</f>
        <v>2</v>
      </c>
      <c r="I14" t="s">
        <v>11</v>
      </c>
      <c r="J14" t="s">
        <v>186</v>
      </c>
      <c r="N14" s="6" t="s">
        <v>258</v>
      </c>
      <c r="O14" s="6" t="s">
        <v>238</v>
      </c>
      <c r="P14" s="7">
        <v>100</v>
      </c>
      <c r="Q14" s="12">
        <v>5.5999999999999999E-3</v>
      </c>
      <c r="R14" s="12">
        <v>0.56000000000000005</v>
      </c>
      <c r="S14" s="6" t="s">
        <v>259</v>
      </c>
      <c r="T14" s="6">
        <v>603</v>
      </c>
      <c r="U14" s="6">
        <v>100</v>
      </c>
      <c r="V14" s="6">
        <v>100</v>
      </c>
      <c r="W14" s="6">
        <v>4000</v>
      </c>
      <c r="X14" s="6">
        <v>189700</v>
      </c>
      <c r="Y14" s="6" t="s">
        <v>233</v>
      </c>
      <c r="Z14" s="6"/>
      <c r="AA14" s="6" t="s">
        <v>260</v>
      </c>
      <c r="AB14" s="8" t="s">
        <v>235</v>
      </c>
      <c r="AC14" s="23" t="s">
        <v>261</v>
      </c>
    </row>
    <row r="15" spans="1:29" ht="15" customHeight="1">
      <c r="A15">
        <v>44</v>
      </c>
      <c r="B15" t="s">
        <v>117</v>
      </c>
      <c r="C15" t="s">
        <v>118</v>
      </c>
      <c r="D15">
        <v>1</v>
      </c>
      <c r="E15" t="s">
        <v>119</v>
      </c>
      <c r="F15" t="s">
        <v>11</v>
      </c>
      <c r="G15" t="s">
        <v>11</v>
      </c>
      <c r="H15">
        <f>2*Artnet_DMX_Converter5[[#This Row],[Quantity]]</f>
        <v>2</v>
      </c>
      <c r="I15" t="s">
        <v>11</v>
      </c>
      <c r="J15" t="s">
        <v>186</v>
      </c>
      <c r="N15" s="6" t="s">
        <v>388</v>
      </c>
      <c r="O15" s="6" t="s">
        <v>383</v>
      </c>
      <c r="P15" s="7">
        <v>2</v>
      </c>
      <c r="Q15" s="12">
        <v>0.77639999999999998</v>
      </c>
      <c r="R15" s="12">
        <v>1.55</v>
      </c>
      <c r="S15" s="6" t="s">
        <v>389</v>
      </c>
      <c r="T15" s="6" t="s">
        <v>390</v>
      </c>
      <c r="U15" s="6">
        <v>1</v>
      </c>
      <c r="V15" s="6">
        <v>1</v>
      </c>
      <c r="W15" s="6">
        <v>500</v>
      </c>
      <c r="X15" s="6">
        <v>4041</v>
      </c>
      <c r="Y15" s="6" t="s">
        <v>233</v>
      </c>
      <c r="Z15" s="6"/>
      <c r="AA15" s="6" t="s">
        <v>391</v>
      </c>
      <c r="AB15" s="9" t="s">
        <v>235</v>
      </c>
      <c r="AC15" s="23" t="s">
        <v>392</v>
      </c>
    </row>
    <row r="16" spans="1:29" ht="15" customHeight="1">
      <c r="A16">
        <v>52</v>
      </c>
      <c r="B16" t="s">
        <v>136</v>
      </c>
      <c r="C16" t="s">
        <v>137</v>
      </c>
      <c r="D16">
        <v>1</v>
      </c>
      <c r="E16" t="s">
        <v>138</v>
      </c>
      <c r="F16" t="s">
        <v>11</v>
      </c>
      <c r="G16" t="s">
        <v>11</v>
      </c>
      <c r="H16">
        <f>2*Artnet_DMX_Converter5[[#This Row],[Quantity]]</f>
        <v>2</v>
      </c>
      <c r="I16" t="s">
        <v>11</v>
      </c>
      <c r="J16" t="s">
        <v>186</v>
      </c>
      <c r="N16" s="6" t="s">
        <v>262</v>
      </c>
      <c r="O16" s="6" t="s">
        <v>238</v>
      </c>
      <c r="P16" s="7">
        <v>10</v>
      </c>
      <c r="Q16" s="12">
        <v>6.0999999999999999E-2</v>
      </c>
      <c r="R16" s="12">
        <v>0.61</v>
      </c>
      <c r="S16" s="6" t="s">
        <v>263</v>
      </c>
      <c r="T16" s="6">
        <v>1206</v>
      </c>
      <c r="U16" s="6">
        <v>10</v>
      </c>
      <c r="V16" s="6">
        <v>10</v>
      </c>
      <c r="W16" s="6">
        <v>2000</v>
      </c>
      <c r="X16" s="6">
        <v>6009890</v>
      </c>
      <c r="Y16" s="6" t="s">
        <v>233</v>
      </c>
      <c r="Z16" s="6"/>
      <c r="AA16" s="6" t="s">
        <v>264</v>
      </c>
      <c r="AB16" s="8" t="s">
        <v>235</v>
      </c>
      <c r="AC16" s="23" t="s">
        <v>265</v>
      </c>
    </row>
    <row r="17" spans="1:29" ht="15" customHeight="1">
      <c r="A17">
        <v>14</v>
      </c>
      <c r="B17" t="s">
        <v>42</v>
      </c>
      <c r="C17" t="s">
        <v>21</v>
      </c>
      <c r="D17">
        <v>1</v>
      </c>
      <c r="E17" t="s">
        <v>17</v>
      </c>
      <c r="F17" t="s">
        <v>11</v>
      </c>
      <c r="G17" t="s">
        <v>11</v>
      </c>
      <c r="H17">
        <f>2*Artnet_DMX_Converter5[[#This Row],[Quantity]]</f>
        <v>2</v>
      </c>
      <c r="I17" t="s">
        <v>11</v>
      </c>
      <c r="J17" t="s">
        <v>186</v>
      </c>
      <c r="N17" s="6" t="s">
        <v>266</v>
      </c>
      <c r="O17" s="6" t="s">
        <v>238</v>
      </c>
      <c r="P17" s="7">
        <v>50</v>
      </c>
      <c r="Q17" s="12">
        <v>5.5999999999999999E-3</v>
      </c>
      <c r="R17" s="12">
        <v>0.28000000000000003</v>
      </c>
      <c r="S17" s="6" t="s">
        <v>267</v>
      </c>
      <c r="T17" s="6">
        <v>603</v>
      </c>
      <c r="U17" s="6">
        <v>50</v>
      </c>
      <c r="V17" s="6">
        <v>50</v>
      </c>
      <c r="W17" s="6">
        <v>4000</v>
      </c>
      <c r="X17" s="6">
        <v>13333100</v>
      </c>
      <c r="Y17" s="6" t="s">
        <v>233</v>
      </c>
      <c r="Z17" s="6"/>
      <c r="AA17" s="6" t="s">
        <v>268</v>
      </c>
      <c r="AB17" s="8" t="s">
        <v>235</v>
      </c>
      <c r="AC17" s="23" t="s">
        <v>269</v>
      </c>
    </row>
    <row r="18" spans="1:29" ht="15" customHeight="1">
      <c r="A18">
        <v>20</v>
      </c>
      <c r="B18" t="s">
        <v>56</v>
      </c>
      <c r="C18" t="s">
        <v>21</v>
      </c>
      <c r="D18">
        <v>1</v>
      </c>
      <c r="E18" t="s">
        <v>57</v>
      </c>
      <c r="F18" t="s">
        <v>11</v>
      </c>
      <c r="G18" t="s">
        <v>11</v>
      </c>
      <c r="H18">
        <f>2*Artnet_DMX_Converter5[[#This Row],[Quantity]]</f>
        <v>2</v>
      </c>
      <c r="I18" t="s">
        <v>11</v>
      </c>
      <c r="J18" t="s">
        <v>186</v>
      </c>
      <c r="N18" s="6" t="s">
        <v>270</v>
      </c>
      <c r="O18" s="6" t="s">
        <v>238</v>
      </c>
      <c r="P18" s="7">
        <v>20</v>
      </c>
      <c r="Q18" s="12">
        <v>5.4000000000000003E-3</v>
      </c>
      <c r="R18" s="12">
        <v>0.11</v>
      </c>
      <c r="S18" s="6" t="s">
        <v>271</v>
      </c>
      <c r="T18" s="6">
        <v>603</v>
      </c>
      <c r="U18" s="6">
        <v>20</v>
      </c>
      <c r="V18" s="6">
        <v>20</v>
      </c>
      <c r="W18" s="6">
        <v>4000</v>
      </c>
      <c r="X18" s="6">
        <v>61420</v>
      </c>
      <c r="Y18" s="6" t="s">
        <v>233</v>
      </c>
      <c r="Z18" s="6"/>
      <c r="AA18" s="6" t="s">
        <v>272</v>
      </c>
      <c r="AB18" s="8" t="s">
        <v>235</v>
      </c>
      <c r="AC18" s="23" t="s">
        <v>273</v>
      </c>
    </row>
    <row r="19" spans="1:29" ht="15" customHeight="1">
      <c r="A19">
        <v>42</v>
      </c>
      <c r="B19" t="s">
        <v>112</v>
      </c>
      <c r="C19" t="s">
        <v>21</v>
      </c>
      <c r="D19">
        <v>1</v>
      </c>
      <c r="E19" t="s">
        <v>113</v>
      </c>
      <c r="F19" t="s">
        <v>11</v>
      </c>
      <c r="G19" t="s">
        <v>11</v>
      </c>
      <c r="H19">
        <f>2*Artnet_DMX_Converter5[[#This Row],[Quantity]]</f>
        <v>2</v>
      </c>
      <c r="I19" t="s">
        <v>11</v>
      </c>
      <c r="J19" t="s">
        <v>186</v>
      </c>
      <c r="N19" s="6" t="s">
        <v>274</v>
      </c>
      <c r="O19" s="6" t="s">
        <v>238</v>
      </c>
      <c r="P19" s="7">
        <v>20</v>
      </c>
      <c r="Q19" s="12">
        <v>8.2000000000000007E-3</v>
      </c>
      <c r="R19" s="12">
        <v>0.16</v>
      </c>
      <c r="S19" s="6" t="s">
        <v>275</v>
      </c>
      <c r="T19" s="6">
        <v>603</v>
      </c>
      <c r="U19" s="6">
        <v>20</v>
      </c>
      <c r="V19" s="6">
        <v>20</v>
      </c>
      <c r="W19" s="6">
        <v>4000</v>
      </c>
      <c r="X19" s="6">
        <v>39800</v>
      </c>
      <c r="Y19" s="6" t="s">
        <v>233</v>
      </c>
      <c r="Z19" s="6"/>
      <c r="AA19" s="6" t="s">
        <v>276</v>
      </c>
      <c r="AB19" s="8" t="s">
        <v>235</v>
      </c>
      <c r="AC19" s="23" t="s">
        <v>277</v>
      </c>
    </row>
    <row r="20" spans="1:29" ht="15" customHeight="1">
      <c r="A20">
        <v>10</v>
      </c>
      <c r="B20" t="s">
        <v>31</v>
      </c>
      <c r="C20" t="s">
        <v>21</v>
      </c>
      <c r="D20">
        <v>2</v>
      </c>
      <c r="E20" t="s">
        <v>32</v>
      </c>
      <c r="F20" t="s">
        <v>11</v>
      </c>
      <c r="G20" t="s">
        <v>11</v>
      </c>
      <c r="H20">
        <f>2*Artnet_DMX_Converter5[[#This Row],[Quantity]]</f>
        <v>4</v>
      </c>
      <c r="I20" t="s">
        <v>11</v>
      </c>
      <c r="J20" t="s">
        <v>186</v>
      </c>
      <c r="N20" s="6" t="s">
        <v>278</v>
      </c>
      <c r="O20" s="6" t="s">
        <v>238</v>
      </c>
      <c r="P20" s="7">
        <v>50</v>
      </c>
      <c r="Q20" s="12">
        <v>5.5999999999999999E-3</v>
      </c>
      <c r="R20" s="12">
        <v>0.28000000000000003</v>
      </c>
      <c r="S20" s="6" t="s">
        <v>279</v>
      </c>
      <c r="T20" s="6">
        <v>603</v>
      </c>
      <c r="U20" s="6">
        <v>50</v>
      </c>
      <c r="V20" s="6">
        <v>50</v>
      </c>
      <c r="W20" s="6">
        <v>4000</v>
      </c>
      <c r="X20" s="6">
        <v>4548950</v>
      </c>
      <c r="Y20" s="6" t="s">
        <v>233</v>
      </c>
      <c r="Z20" s="6"/>
      <c r="AA20" s="6" t="s">
        <v>280</v>
      </c>
      <c r="AB20" s="8" t="s">
        <v>235</v>
      </c>
      <c r="AC20" s="23" t="s">
        <v>281</v>
      </c>
    </row>
    <row r="21" spans="1:29" ht="15" customHeight="1">
      <c r="A21">
        <v>53</v>
      </c>
      <c r="B21" t="s">
        <v>139</v>
      </c>
      <c r="C21" t="s">
        <v>21</v>
      </c>
      <c r="D21">
        <v>5</v>
      </c>
      <c r="E21" t="s">
        <v>140</v>
      </c>
      <c r="F21" t="s">
        <v>11</v>
      </c>
      <c r="G21" t="s">
        <v>11</v>
      </c>
      <c r="H21">
        <f>2*Artnet_DMX_Converter5[[#This Row],[Quantity]]</f>
        <v>10</v>
      </c>
      <c r="I21" t="s">
        <v>11</v>
      </c>
      <c r="J21" t="s">
        <v>186</v>
      </c>
      <c r="N21" s="6" t="s">
        <v>282</v>
      </c>
      <c r="O21" s="6" t="s">
        <v>238</v>
      </c>
      <c r="P21" s="7">
        <v>50</v>
      </c>
      <c r="Q21" s="12">
        <v>6.4999999999999997E-3</v>
      </c>
      <c r="R21" s="12">
        <v>0.33</v>
      </c>
      <c r="S21" s="6" t="s">
        <v>283</v>
      </c>
      <c r="T21" s="6">
        <v>603</v>
      </c>
      <c r="U21" s="6">
        <v>50</v>
      </c>
      <c r="V21" s="6">
        <v>50</v>
      </c>
      <c r="W21" s="6">
        <v>4000</v>
      </c>
      <c r="X21" s="6">
        <v>13475400</v>
      </c>
      <c r="Y21" s="6" t="s">
        <v>233</v>
      </c>
      <c r="Z21" s="6"/>
      <c r="AA21" s="6" t="s">
        <v>284</v>
      </c>
      <c r="AB21" s="8" t="s">
        <v>235</v>
      </c>
      <c r="AC21" s="23" t="s">
        <v>285</v>
      </c>
    </row>
    <row r="22" spans="1:29" ht="15" customHeight="1">
      <c r="A22">
        <v>58</v>
      </c>
      <c r="B22" t="s">
        <v>150</v>
      </c>
      <c r="C22" t="s">
        <v>21</v>
      </c>
      <c r="D22">
        <v>1</v>
      </c>
      <c r="E22" t="s">
        <v>84</v>
      </c>
      <c r="F22" t="s">
        <v>11</v>
      </c>
      <c r="G22" t="s">
        <v>11</v>
      </c>
      <c r="H22">
        <f>2*Artnet_DMX_Converter5[[#This Row],[Quantity]]</f>
        <v>2</v>
      </c>
      <c r="I22" t="s">
        <v>11</v>
      </c>
      <c r="J22" t="s">
        <v>186</v>
      </c>
      <c r="N22" s="6" t="s">
        <v>286</v>
      </c>
      <c r="O22" s="6" t="s">
        <v>238</v>
      </c>
      <c r="P22" s="7">
        <v>50</v>
      </c>
      <c r="Q22" s="12">
        <v>6.1999999999999998E-3</v>
      </c>
      <c r="R22" s="12">
        <v>0.31</v>
      </c>
      <c r="S22" s="6" t="s">
        <v>287</v>
      </c>
      <c r="T22" s="6">
        <v>603</v>
      </c>
      <c r="U22" s="6">
        <v>50</v>
      </c>
      <c r="V22" s="6">
        <v>50</v>
      </c>
      <c r="W22" s="6">
        <v>4000</v>
      </c>
      <c r="X22" s="6">
        <v>5941500</v>
      </c>
      <c r="Y22" s="6" t="s">
        <v>233</v>
      </c>
      <c r="Z22" s="6"/>
      <c r="AA22" s="6" t="s">
        <v>288</v>
      </c>
      <c r="AB22" s="8" t="s">
        <v>235</v>
      </c>
      <c r="AC22" s="23" t="s">
        <v>289</v>
      </c>
    </row>
    <row r="23" spans="1:29" ht="15" customHeight="1">
      <c r="A23">
        <v>32</v>
      </c>
      <c r="B23" t="s">
        <v>88</v>
      </c>
      <c r="C23" t="s">
        <v>78</v>
      </c>
      <c r="D23">
        <v>1</v>
      </c>
      <c r="E23" t="s">
        <v>89</v>
      </c>
      <c r="F23" t="s">
        <v>11</v>
      </c>
      <c r="G23" t="s">
        <v>11</v>
      </c>
      <c r="H23">
        <f>2*Artnet_DMX_Converter5[[#This Row],[Quantity]]</f>
        <v>2</v>
      </c>
      <c r="I23" t="s">
        <v>11</v>
      </c>
      <c r="J23" t="s">
        <v>186</v>
      </c>
      <c r="N23" s="6" t="s">
        <v>89</v>
      </c>
      <c r="O23" s="6" t="s">
        <v>307</v>
      </c>
      <c r="P23" s="7">
        <v>10</v>
      </c>
      <c r="Q23" s="12">
        <v>6.2100000000000002E-2</v>
      </c>
      <c r="R23" s="12">
        <v>0.62</v>
      </c>
      <c r="S23" s="6" t="s">
        <v>308</v>
      </c>
      <c r="T23" s="6" t="s">
        <v>309</v>
      </c>
      <c r="U23" s="6">
        <v>10</v>
      </c>
      <c r="V23" s="6">
        <v>10</v>
      </c>
      <c r="W23" s="6">
        <v>3000</v>
      </c>
      <c r="X23" s="6">
        <v>2600</v>
      </c>
      <c r="Y23" s="6" t="s">
        <v>233</v>
      </c>
      <c r="Z23" s="6"/>
      <c r="AA23" s="6" t="s">
        <v>310</v>
      </c>
      <c r="AB23" s="8" t="s">
        <v>235</v>
      </c>
      <c r="AC23" s="23" t="s">
        <v>311</v>
      </c>
    </row>
    <row r="24" spans="1:29" ht="15" customHeight="1">
      <c r="A24">
        <v>56</v>
      </c>
      <c r="B24" t="s">
        <v>145</v>
      </c>
      <c r="C24" t="s">
        <v>146</v>
      </c>
      <c r="D24">
        <v>1</v>
      </c>
      <c r="E24" t="s">
        <v>147</v>
      </c>
      <c r="F24" t="s">
        <v>11</v>
      </c>
      <c r="G24" t="s">
        <v>11</v>
      </c>
      <c r="H24">
        <f>2*Artnet_DMX_Converter5[[#This Row],[Quantity]]</f>
        <v>2</v>
      </c>
      <c r="I24" t="s">
        <v>11</v>
      </c>
      <c r="J24" t="s">
        <v>186</v>
      </c>
      <c r="N24" s="6" t="s">
        <v>147</v>
      </c>
      <c r="O24" s="6" t="s">
        <v>312</v>
      </c>
      <c r="P24" s="7">
        <v>20</v>
      </c>
      <c r="Q24" s="12">
        <v>2.81E-2</v>
      </c>
      <c r="R24" s="12">
        <v>0.56000000000000005</v>
      </c>
      <c r="S24" s="6" t="s">
        <v>313</v>
      </c>
      <c r="T24" s="6" t="s">
        <v>314</v>
      </c>
      <c r="U24" s="6">
        <v>20</v>
      </c>
      <c r="V24" s="6">
        <v>20</v>
      </c>
      <c r="W24" s="6">
        <v>5000</v>
      </c>
      <c r="X24" s="6">
        <v>202260</v>
      </c>
      <c r="Y24" s="6" t="s">
        <v>233</v>
      </c>
      <c r="Z24" s="6"/>
      <c r="AA24" s="6" t="s">
        <v>315</v>
      </c>
      <c r="AB24" s="8" t="s">
        <v>235</v>
      </c>
      <c r="AC24" s="23" t="s">
        <v>316</v>
      </c>
    </row>
    <row r="25" spans="1:29" ht="15" customHeight="1">
      <c r="A25">
        <v>49</v>
      </c>
      <c r="B25" t="s">
        <v>128</v>
      </c>
      <c r="C25" t="s">
        <v>129</v>
      </c>
      <c r="D25">
        <v>1</v>
      </c>
      <c r="E25" t="s">
        <v>130</v>
      </c>
      <c r="F25" t="s">
        <v>11</v>
      </c>
      <c r="G25" t="s">
        <v>11</v>
      </c>
      <c r="H25">
        <f>2*Artnet_DMX_Converter5[[#This Row],[Quantity]]</f>
        <v>2</v>
      </c>
      <c r="I25" t="s">
        <v>11</v>
      </c>
      <c r="J25" t="s">
        <v>186</v>
      </c>
      <c r="N25" s="6" t="s">
        <v>317</v>
      </c>
      <c r="O25" s="6" t="s">
        <v>318</v>
      </c>
      <c r="P25" s="7">
        <v>5</v>
      </c>
      <c r="Q25" s="12">
        <v>3.3300000000000003E-2</v>
      </c>
      <c r="R25" s="12">
        <v>0.17</v>
      </c>
      <c r="S25" s="6" t="s">
        <v>319</v>
      </c>
      <c r="T25" s="6" t="s">
        <v>320</v>
      </c>
      <c r="U25" s="6">
        <v>5</v>
      </c>
      <c r="V25" s="6">
        <v>5</v>
      </c>
      <c r="W25" s="6">
        <v>3000</v>
      </c>
      <c r="X25" s="6">
        <v>71145</v>
      </c>
      <c r="Y25" s="6" t="s">
        <v>233</v>
      </c>
      <c r="Z25" s="6"/>
      <c r="AA25" s="6" t="s">
        <v>321</v>
      </c>
      <c r="AB25" s="8" t="s">
        <v>235</v>
      </c>
      <c r="AC25" s="23" t="s">
        <v>322</v>
      </c>
    </row>
    <row r="26" spans="1:29" ht="15" customHeight="1">
      <c r="A26">
        <v>66</v>
      </c>
      <c r="B26" t="s">
        <v>164</v>
      </c>
      <c r="C26" t="s">
        <v>78</v>
      </c>
      <c r="D26">
        <v>1</v>
      </c>
      <c r="E26" t="s">
        <v>165</v>
      </c>
      <c r="F26" t="s">
        <v>11</v>
      </c>
      <c r="G26" t="s">
        <v>11</v>
      </c>
      <c r="H26">
        <f>2*Artnet_DMX_Converter5[[#This Row],[Quantity]]</f>
        <v>2</v>
      </c>
      <c r="I26" t="s">
        <v>11</v>
      </c>
      <c r="J26" t="s">
        <v>186</v>
      </c>
      <c r="N26" s="6" t="s">
        <v>323</v>
      </c>
      <c r="O26" s="6" t="s">
        <v>324</v>
      </c>
      <c r="P26" s="7">
        <v>5</v>
      </c>
      <c r="Q26" s="12">
        <v>8.5199999999999998E-2</v>
      </c>
      <c r="R26" s="12">
        <v>0.43</v>
      </c>
      <c r="S26" s="6" t="s">
        <v>325</v>
      </c>
      <c r="T26" s="6" t="s">
        <v>309</v>
      </c>
      <c r="U26" s="6">
        <v>5</v>
      </c>
      <c r="V26" s="6">
        <v>5</v>
      </c>
      <c r="W26" s="6">
        <v>3000</v>
      </c>
      <c r="X26" s="6">
        <v>2220</v>
      </c>
      <c r="Y26" s="6" t="s">
        <v>233</v>
      </c>
      <c r="Z26" s="6"/>
      <c r="AA26" s="6" t="s">
        <v>326</v>
      </c>
      <c r="AB26" s="8" t="s">
        <v>235</v>
      </c>
      <c r="AC26" s="23" t="s">
        <v>327</v>
      </c>
    </row>
    <row r="27" spans="1:29" ht="15" customHeight="1">
      <c r="A27">
        <v>11</v>
      </c>
      <c r="B27" t="s">
        <v>33</v>
      </c>
      <c r="C27" t="s">
        <v>34</v>
      </c>
      <c r="D27">
        <v>1</v>
      </c>
      <c r="E27" t="s">
        <v>35</v>
      </c>
      <c r="F27" t="s">
        <v>11</v>
      </c>
      <c r="G27" t="s">
        <v>11</v>
      </c>
      <c r="H27">
        <f>2*Artnet_DMX_Converter5[[#This Row],[Quantity]]</f>
        <v>2</v>
      </c>
      <c r="I27" t="s">
        <v>11</v>
      </c>
      <c r="J27" t="s">
        <v>186</v>
      </c>
      <c r="N27" s="6" t="s">
        <v>328</v>
      </c>
      <c r="O27" s="6" t="s">
        <v>329</v>
      </c>
      <c r="P27" s="7">
        <v>10</v>
      </c>
      <c r="Q27" s="12">
        <v>3.6999999999999998E-2</v>
      </c>
      <c r="R27" s="12">
        <v>0.37</v>
      </c>
      <c r="S27" s="6" t="s">
        <v>330</v>
      </c>
      <c r="T27" s="6" t="s">
        <v>331</v>
      </c>
      <c r="U27" s="6">
        <v>10</v>
      </c>
      <c r="V27" s="6">
        <v>10</v>
      </c>
      <c r="W27" s="6">
        <v>4000</v>
      </c>
      <c r="X27" s="6">
        <v>1640</v>
      </c>
      <c r="Y27" s="6" t="s">
        <v>233</v>
      </c>
      <c r="Z27" s="6"/>
      <c r="AA27" s="6" t="s">
        <v>332</v>
      </c>
      <c r="AB27" s="8" t="s">
        <v>235</v>
      </c>
      <c r="AC27" s="23" t="s">
        <v>333</v>
      </c>
    </row>
    <row r="28" spans="1:29" ht="15" customHeight="1">
      <c r="A28">
        <v>28</v>
      </c>
      <c r="B28" t="s">
        <v>77</v>
      </c>
      <c r="C28" t="s">
        <v>78</v>
      </c>
      <c r="D28">
        <v>8</v>
      </c>
      <c r="E28" t="s">
        <v>79</v>
      </c>
      <c r="F28" t="s">
        <v>11</v>
      </c>
      <c r="G28" t="s">
        <v>11</v>
      </c>
      <c r="H28">
        <f>2*Artnet_DMX_Converter5[[#This Row],[Quantity]]</f>
        <v>16</v>
      </c>
      <c r="I28" t="s">
        <v>11</v>
      </c>
      <c r="J28" t="s">
        <v>186</v>
      </c>
      <c r="N28" s="6" t="s">
        <v>79</v>
      </c>
      <c r="O28" s="6" t="s">
        <v>334</v>
      </c>
      <c r="P28" s="7">
        <v>20</v>
      </c>
      <c r="Q28" s="12">
        <v>0.15329999999999999</v>
      </c>
      <c r="R28" s="12">
        <v>3.07</v>
      </c>
      <c r="S28" s="6" t="s">
        <v>335</v>
      </c>
      <c r="T28" s="6" t="s">
        <v>309</v>
      </c>
      <c r="U28" s="6">
        <v>10</v>
      </c>
      <c r="V28" s="6">
        <v>10</v>
      </c>
      <c r="W28" s="6">
        <v>2500</v>
      </c>
      <c r="X28" s="6">
        <v>4140</v>
      </c>
      <c r="Y28" s="6" t="s">
        <v>233</v>
      </c>
      <c r="Z28" s="6"/>
      <c r="AA28" s="6" t="s">
        <v>336</v>
      </c>
      <c r="AB28" s="8" t="s">
        <v>235</v>
      </c>
      <c r="AC28" s="23" t="s">
        <v>337</v>
      </c>
    </row>
    <row r="29" spans="1:29" ht="15" customHeight="1">
      <c r="A29">
        <v>62</v>
      </c>
      <c r="B29" t="s">
        <v>155</v>
      </c>
      <c r="C29" t="s">
        <v>156</v>
      </c>
      <c r="D29">
        <v>1</v>
      </c>
      <c r="E29" t="s">
        <v>157</v>
      </c>
      <c r="F29" t="s">
        <v>11</v>
      </c>
      <c r="G29" t="s">
        <v>11</v>
      </c>
      <c r="H29">
        <f>2*Artnet_DMX_Converter5[[#This Row],[Quantity]]</f>
        <v>2</v>
      </c>
      <c r="I29" t="s">
        <v>11</v>
      </c>
      <c r="K29" t="s">
        <v>186</v>
      </c>
      <c r="N29" s="13" t="s">
        <v>625</v>
      </c>
      <c r="O29" s="14" t="s">
        <v>626</v>
      </c>
      <c r="P29" s="15">
        <v>2</v>
      </c>
      <c r="Q29" s="16">
        <v>1.54</v>
      </c>
      <c r="R29" s="16">
        <v>3.08</v>
      </c>
      <c r="S29" s="17" t="s">
        <v>624</v>
      </c>
      <c r="AC29" s="25" t="s">
        <v>639</v>
      </c>
    </row>
    <row r="30" spans="1:29" ht="15" customHeight="1">
      <c r="A30">
        <v>33</v>
      </c>
      <c r="B30" t="s">
        <v>90</v>
      </c>
      <c r="C30" t="s">
        <v>91</v>
      </c>
      <c r="D30">
        <v>1</v>
      </c>
      <c r="E30" t="s">
        <v>92</v>
      </c>
      <c r="F30" t="s">
        <v>11</v>
      </c>
      <c r="G30" t="s">
        <v>11</v>
      </c>
      <c r="H30">
        <f>2*Artnet_DMX_Converter5[[#This Row],[Quantity]]</f>
        <v>2</v>
      </c>
      <c r="I30" t="s">
        <v>11</v>
      </c>
      <c r="J30" t="s">
        <v>186</v>
      </c>
      <c r="N30" s="6" t="s">
        <v>338</v>
      </c>
      <c r="O30" s="6" t="s">
        <v>230</v>
      </c>
      <c r="P30" s="7">
        <v>5</v>
      </c>
      <c r="Q30" s="12">
        <v>0.1734</v>
      </c>
      <c r="R30" s="12">
        <v>0.87</v>
      </c>
      <c r="S30" s="6" t="s">
        <v>339</v>
      </c>
      <c r="T30" s="6" t="s">
        <v>340</v>
      </c>
      <c r="U30" s="6">
        <v>5</v>
      </c>
      <c r="V30" s="6">
        <v>5</v>
      </c>
      <c r="W30" s="6">
        <v>3000</v>
      </c>
      <c r="X30" s="6">
        <v>47315</v>
      </c>
      <c r="Y30" s="6" t="s">
        <v>233</v>
      </c>
      <c r="Z30" s="6"/>
      <c r="AA30" s="6" t="s">
        <v>341</v>
      </c>
      <c r="AB30" s="8" t="s">
        <v>235</v>
      </c>
      <c r="AC30" s="23" t="s">
        <v>342</v>
      </c>
    </row>
    <row r="31" spans="1:29" ht="15" customHeight="1">
      <c r="A31">
        <v>39</v>
      </c>
      <c r="B31" t="s">
        <v>105</v>
      </c>
      <c r="C31" t="s">
        <v>106</v>
      </c>
      <c r="D31">
        <v>1</v>
      </c>
      <c r="E31" t="s">
        <v>107</v>
      </c>
      <c r="F31" t="s">
        <v>11</v>
      </c>
      <c r="G31" t="s">
        <v>11</v>
      </c>
      <c r="H31">
        <f>2*Artnet_DMX_Converter5[[#This Row],[Quantity]]</f>
        <v>2</v>
      </c>
      <c r="I31" t="s">
        <v>11</v>
      </c>
      <c r="J31" t="s">
        <v>186</v>
      </c>
      <c r="N31" s="6" t="s">
        <v>343</v>
      </c>
      <c r="O31" s="6" t="s">
        <v>344</v>
      </c>
      <c r="P31" s="7">
        <v>5</v>
      </c>
      <c r="Q31" s="12">
        <v>0.114</v>
      </c>
      <c r="R31" s="12">
        <v>0.56999999999999995</v>
      </c>
      <c r="S31" s="6" t="s">
        <v>345</v>
      </c>
      <c r="T31" s="6" t="s">
        <v>346</v>
      </c>
      <c r="U31" s="6">
        <v>5</v>
      </c>
      <c r="V31" s="6">
        <v>5</v>
      </c>
      <c r="W31" s="6">
        <v>220</v>
      </c>
      <c r="X31" s="6">
        <v>19840</v>
      </c>
      <c r="Y31" s="6" t="s">
        <v>233</v>
      </c>
      <c r="Z31" s="6"/>
      <c r="AA31" s="6" t="s">
        <v>347</v>
      </c>
      <c r="AB31" s="8" t="s">
        <v>235</v>
      </c>
      <c r="AC31" s="23" t="s">
        <v>348</v>
      </c>
    </row>
    <row r="32" spans="1:29" ht="15" customHeight="1">
      <c r="A32">
        <v>51</v>
      </c>
      <c r="B32" t="s">
        <v>133</v>
      </c>
      <c r="C32" t="s">
        <v>134</v>
      </c>
      <c r="D32">
        <v>1</v>
      </c>
      <c r="E32" t="s">
        <v>135</v>
      </c>
      <c r="F32" t="s">
        <v>11</v>
      </c>
      <c r="G32" t="s">
        <v>11</v>
      </c>
      <c r="H32">
        <f>2*Artnet_DMX_Converter5[[#This Row],[Quantity]]</f>
        <v>2</v>
      </c>
      <c r="I32" t="s">
        <v>11</v>
      </c>
      <c r="J32" t="s">
        <v>186</v>
      </c>
      <c r="N32" s="6" t="s">
        <v>349</v>
      </c>
      <c r="O32" s="6" t="s">
        <v>350</v>
      </c>
      <c r="P32" s="7">
        <v>5</v>
      </c>
      <c r="Q32" s="12">
        <v>0.1115</v>
      </c>
      <c r="R32" s="12">
        <v>0.56000000000000005</v>
      </c>
      <c r="S32" s="6" t="s">
        <v>351</v>
      </c>
      <c r="T32" s="6" t="s">
        <v>346</v>
      </c>
      <c r="U32" s="6">
        <v>5</v>
      </c>
      <c r="V32" s="6">
        <v>5</v>
      </c>
      <c r="W32" s="6">
        <v>1000</v>
      </c>
      <c r="X32" s="6">
        <v>26375</v>
      </c>
      <c r="Y32" s="6" t="s">
        <v>233</v>
      </c>
      <c r="Z32" s="6"/>
      <c r="AA32" s="6" t="s">
        <v>352</v>
      </c>
      <c r="AB32" s="8" t="s">
        <v>235</v>
      </c>
      <c r="AC32" s="23" t="s">
        <v>353</v>
      </c>
    </row>
    <row r="33" spans="1:48" ht="15" customHeight="1">
      <c r="A33">
        <v>13</v>
      </c>
      <c r="B33" t="s">
        <v>39</v>
      </c>
      <c r="C33" t="s">
        <v>40</v>
      </c>
      <c r="D33">
        <v>1</v>
      </c>
      <c r="E33" t="s">
        <v>41</v>
      </c>
      <c r="F33" t="s">
        <v>11</v>
      </c>
      <c r="G33" t="s">
        <v>11</v>
      </c>
      <c r="H33">
        <f>2*Artnet_DMX_Converter5[[#This Row],[Quantity]]</f>
        <v>2</v>
      </c>
      <c r="I33" t="s">
        <v>11</v>
      </c>
      <c r="J33" t="s">
        <v>186</v>
      </c>
      <c r="N33" s="6" t="s">
        <v>354</v>
      </c>
      <c r="O33" s="6" t="s">
        <v>355</v>
      </c>
      <c r="P33" s="7">
        <v>5</v>
      </c>
      <c r="Q33" s="12">
        <v>0.1681</v>
      </c>
      <c r="R33" s="12">
        <v>0.84</v>
      </c>
      <c r="S33" s="6" t="s">
        <v>356</v>
      </c>
      <c r="T33" s="6" t="s">
        <v>187</v>
      </c>
      <c r="U33" s="6">
        <v>5</v>
      </c>
      <c r="V33" s="6">
        <v>5</v>
      </c>
      <c r="W33" s="6">
        <v>1000</v>
      </c>
      <c r="X33" s="6">
        <v>263130</v>
      </c>
      <c r="Y33" s="6" t="s">
        <v>233</v>
      </c>
      <c r="Z33" s="6"/>
      <c r="AA33" s="6" t="s">
        <v>357</v>
      </c>
      <c r="AB33" s="8" t="s">
        <v>235</v>
      </c>
      <c r="AC33" s="23" t="s">
        <v>358</v>
      </c>
    </row>
    <row r="34" spans="1:48" ht="15" customHeight="1">
      <c r="A34">
        <v>1</v>
      </c>
      <c r="B34" t="s">
        <v>8</v>
      </c>
      <c r="C34" t="s">
        <v>9</v>
      </c>
      <c r="D34">
        <v>1</v>
      </c>
      <c r="E34" t="s">
        <v>10</v>
      </c>
      <c r="F34" t="s">
        <v>11</v>
      </c>
      <c r="G34" t="s">
        <v>11</v>
      </c>
      <c r="H34">
        <f>2*Artnet_DMX_Converter5[[#This Row],[Quantity]]</f>
        <v>2</v>
      </c>
      <c r="I34" t="s">
        <v>11</v>
      </c>
      <c r="K34" t="s">
        <v>186</v>
      </c>
      <c r="N34" s="13" t="s">
        <v>628</v>
      </c>
      <c r="O34" s="14" t="s">
        <v>629</v>
      </c>
      <c r="P34" s="15">
        <v>2</v>
      </c>
      <c r="Q34" s="16">
        <v>6.73</v>
      </c>
      <c r="R34" s="16">
        <v>13.46</v>
      </c>
      <c r="S34" s="14" t="s">
        <v>627</v>
      </c>
      <c r="AC34" s="25" t="s">
        <v>640</v>
      </c>
    </row>
    <row r="35" spans="1:48" ht="15" customHeight="1">
      <c r="A35">
        <v>12</v>
      </c>
      <c r="B35" t="s">
        <v>36</v>
      </c>
      <c r="C35" t="s">
        <v>37</v>
      </c>
      <c r="D35">
        <v>4</v>
      </c>
      <c r="E35" t="s">
        <v>38</v>
      </c>
      <c r="F35" t="s">
        <v>11</v>
      </c>
      <c r="G35" t="s">
        <v>11</v>
      </c>
      <c r="H35">
        <v>4</v>
      </c>
      <c r="I35" t="s">
        <v>11</v>
      </c>
      <c r="K35" t="s">
        <v>186</v>
      </c>
      <c r="N35" s="13" t="s">
        <v>37</v>
      </c>
      <c r="O35" s="14" t="s">
        <v>629</v>
      </c>
      <c r="P35" s="15">
        <v>4</v>
      </c>
      <c r="Q35" s="16">
        <v>7.79</v>
      </c>
      <c r="R35" s="16">
        <v>31.16</v>
      </c>
      <c r="S35" s="14" t="s">
        <v>630</v>
      </c>
      <c r="AC35" s="25" t="s">
        <v>641</v>
      </c>
    </row>
    <row r="36" spans="1:48" ht="15" customHeight="1">
      <c r="A36">
        <v>47</v>
      </c>
      <c r="B36" t="s">
        <v>123</v>
      </c>
      <c r="C36" t="s">
        <v>124</v>
      </c>
      <c r="D36">
        <v>4</v>
      </c>
      <c r="E36" t="s">
        <v>125</v>
      </c>
      <c r="F36" t="s">
        <v>11</v>
      </c>
      <c r="G36" t="s">
        <v>11</v>
      </c>
      <c r="H36">
        <v>4</v>
      </c>
      <c r="I36" t="s">
        <v>11</v>
      </c>
      <c r="K36" t="s">
        <v>186</v>
      </c>
      <c r="N36" s="13" t="s">
        <v>124</v>
      </c>
      <c r="O36" s="14" t="s">
        <v>629</v>
      </c>
      <c r="P36" s="15">
        <v>4</v>
      </c>
      <c r="Q36" s="16">
        <v>4.33</v>
      </c>
      <c r="R36" s="16">
        <v>17.32</v>
      </c>
      <c r="S36" s="14" t="s">
        <v>631</v>
      </c>
      <c r="AC36" s="25" t="s">
        <v>642</v>
      </c>
    </row>
    <row r="37" spans="1:48" ht="15" customHeight="1">
      <c r="A37">
        <v>21</v>
      </c>
      <c r="B37" t="s">
        <v>58</v>
      </c>
      <c r="C37" t="s">
        <v>59</v>
      </c>
      <c r="D37">
        <v>1</v>
      </c>
      <c r="E37" t="s">
        <v>60</v>
      </c>
      <c r="F37" t="s">
        <v>11</v>
      </c>
      <c r="G37" t="s">
        <v>11</v>
      </c>
      <c r="H37">
        <f>2*Artnet_DMX_Converter5[[#This Row],[Quantity]]</f>
        <v>2</v>
      </c>
      <c r="I37" t="s">
        <v>11</v>
      </c>
      <c r="J37" t="s">
        <v>186</v>
      </c>
      <c r="N37" s="6" t="s">
        <v>359</v>
      </c>
      <c r="O37" s="6" t="s">
        <v>360</v>
      </c>
      <c r="P37" s="7">
        <v>5</v>
      </c>
      <c r="Q37" s="12">
        <v>0.28739999999999999</v>
      </c>
      <c r="R37" s="12">
        <v>1.44</v>
      </c>
      <c r="S37" s="6" t="s">
        <v>361</v>
      </c>
      <c r="T37" s="6">
        <v>806</v>
      </c>
      <c r="U37" s="6">
        <v>5</v>
      </c>
      <c r="V37" s="6">
        <v>5</v>
      </c>
      <c r="W37" s="6">
        <v>3000</v>
      </c>
      <c r="X37" s="6">
        <v>15360</v>
      </c>
      <c r="Y37" s="6" t="s">
        <v>233</v>
      </c>
      <c r="Z37" s="6"/>
      <c r="AA37" s="6" t="s">
        <v>362</v>
      </c>
      <c r="AB37" s="8" t="s">
        <v>235</v>
      </c>
      <c r="AC37" s="23" t="s">
        <v>363</v>
      </c>
      <c r="AG37" s="1"/>
      <c r="AH37" s="1"/>
      <c r="AI37" s="1"/>
      <c r="AJ37" s="1"/>
      <c r="AK37" s="1"/>
      <c r="AL37" s="1"/>
      <c r="AN37" s="1"/>
      <c r="AO37" s="1"/>
      <c r="AP37" s="1"/>
      <c r="AQ37" s="1"/>
      <c r="AU37" s="2"/>
      <c r="AV37" s="3"/>
    </row>
    <row r="38" spans="1:48" ht="15" customHeight="1">
      <c r="A38">
        <v>48</v>
      </c>
      <c r="B38" t="s">
        <v>126</v>
      </c>
      <c r="C38" t="s">
        <v>127</v>
      </c>
      <c r="D38">
        <v>1</v>
      </c>
      <c r="E38" t="s">
        <v>32</v>
      </c>
      <c r="F38" t="s">
        <v>11</v>
      </c>
      <c r="G38" t="s">
        <v>11</v>
      </c>
      <c r="H38">
        <f>2*Artnet_DMX_Converter5[[#This Row],[Quantity]]</f>
        <v>2</v>
      </c>
      <c r="I38" t="s">
        <v>11</v>
      </c>
      <c r="J38" t="s">
        <v>186</v>
      </c>
      <c r="N38" s="6" t="s">
        <v>364</v>
      </c>
      <c r="O38" s="6" t="s">
        <v>318</v>
      </c>
      <c r="P38" s="7">
        <v>2</v>
      </c>
      <c r="Q38" s="12">
        <v>1.6293</v>
      </c>
      <c r="R38" s="12">
        <v>3.26</v>
      </c>
      <c r="S38" s="6" t="s">
        <v>365</v>
      </c>
      <c r="T38" s="6">
        <v>1616</v>
      </c>
      <c r="U38" s="6">
        <v>1</v>
      </c>
      <c r="V38" s="6">
        <v>1</v>
      </c>
      <c r="W38" s="6">
        <v>4000</v>
      </c>
      <c r="X38" s="6">
        <v>79</v>
      </c>
      <c r="Y38" s="6" t="s">
        <v>233</v>
      </c>
      <c r="Z38" s="6"/>
      <c r="AA38" s="6" t="s">
        <v>366</v>
      </c>
      <c r="AB38" s="8" t="s">
        <v>235</v>
      </c>
      <c r="AC38" s="23" t="s">
        <v>367</v>
      </c>
    </row>
    <row r="39" spans="1:48" ht="15" customHeight="1">
      <c r="A39">
        <v>22</v>
      </c>
      <c r="B39" t="s">
        <v>61</v>
      </c>
      <c r="C39" t="s">
        <v>62</v>
      </c>
      <c r="D39">
        <v>1</v>
      </c>
      <c r="E39" t="s">
        <v>63</v>
      </c>
      <c r="F39" t="s">
        <v>11</v>
      </c>
      <c r="G39" t="s">
        <v>11</v>
      </c>
      <c r="H39">
        <f>2*Artnet_DMX_Converter5[[#This Row],[Quantity]]</f>
        <v>2</v>
      </c>
      <c r="I39" t="s">
        <v>11</v>
      </c>
      <c r="J39" t="s">
        <v>186</v>
      </c>
      <c r="N39" s="6" t="s">
        <v>63</v>
      </c>
      <c r="O39" s="6" t="s">
        <v>368</v>
      </c>
      <c r="P39" s="7">
        <v>2</v>
      </c>
      <c r="Q39" s="12">
        <v>0.74319999999999997</v>
      </c>
      <c r="R39" s="12">
        <v>1.49</v>
      </c>
      <c r="S39" s="6" t="s">
        <v>369</v>
      </c>
      <c r="T39" s="6" t="s">
        <v>370</v>
      </c>
      <c r="U39" s="6">
        <v>1</v>
      </c>
      <c r="V39" s="6">
        <v>1</v>
      </c>
      <c r="W39" s="6">
        <v>600</v>
      </c>
      <c r="X39" s="6">
        <v>2085</v>
      </c>
      <c r="Y39" s="6" t="s">
        <v>233</v>
      </c>
      <c r="Z39" s="6"/>
      <c r="AA39" s="6" t="s">
        <v>371</v>
      </c>
      <c r="AB39" s="8" t="s">
        <v>235</v>
      </c>
      <c r="AC39" s="23" t="s">
        <v>372</v>
      </c>
    </row>
    <row r="40" spans="1:48" ht="15" customHeight="1">
      <c r="A40">
        <v>30</v>
      </c>
      <c r="B40" t="s">
        <v>82</v>
      </c>
      <c r="C40" t="s">
        <v>83</v>
      </c>
      <c r="D40">
        <v>2</v>
      </c>
      <c r="E40" t="s">
        <v>84</v>
      </c>
      <c r="F40" t="s">
        <v>11</v>
      </c>
      <c r="G40" t="s">
        <v>11</v>
      </c>
      <c r="H40">
        <f>2*Artnet_DMX_Converter5[[#This Row],[Quantity]]</f>
        <v>4</v>
      </c>
      <c r="I40" t="s">
        <v>11</v>
      </c>
      <c r="J40" t="s">
        <v>186</v>
      </c>
      <c r="N40" s="6" t="s">
        <v>373</v>
      </c>
      <c r="O40" s="6" t="s">
        <v>295</v>
      </c>
      <c r="P40" s="7">
        <v>10</v>
      </c>
      <c r="Q40" s="12">
        <v>8.3500000000000005E-2</v>
      </c>
      <c r="R40" s="12">
        <v>0.84</v>
      </c>
      <c r="S40" s="6" t="s">
        <v>374</v>
      </c>
      <c r="T40" s="6">
        <v>805</v>
      </c>
      <c r="U40" s="6">
        <v>10</v>
      </c>
      <c r="V40" s="6">
        <v>10</v>
      </c>
      <c r="W40" s="6">
        <v>4000</v>
      </c>
      <c r="X40" s="6">
        <v>89820</v>
      </c>
      <c r="Y40" s="6" t="s">
        <v>233</v>
      </c>
      <c r="Z40" s="6"/>
      <c r="AA40" s="6" t="s">
        <v>375</v>
      </c>
      <c r="AB40" s="8" t="s">
        <v>235</v>
      </c>
      <c r="AC40" s="23" t="s">
        <v>376</v>
      </c>
    </row>
    <row r="41" spans="1:48" ht="15" customHeight="1">
      <c r="A41">
        <v>16</v>
      </c>
      <c r="B41" t="s">
        <v>45</v>
      </c>
      <c r="C41" t="s">
        <v>46</v>
      </c>
      <c r="D41">
        <v>10</v>
      </c>
      <c r="E41" t="s">
        <v>47</v>
      </c>
      <c r="F41" t="s">
        <v>11</v>
      </c>
      <c r="G41" t="s">
        <v>11</v>
      </c>
      <c r="H41">
        <f>2*Artnet_DMX_Converter5[[#This Row],[Quantity]]</f>
        <v>20</v>
      </c>
      <c r="I41" t="s">
        <v>11</v>
      </c>
      <c r="J41" t="s">
        <v>186</v>
      </c>
      <c r="N41" s="6" t="s">
        <v>47</v>
      </c>
      <c r="O41" s="6" t="s">
        <v>377</v>
      </c>
      <c r="P41" s="7">
        <v>45</v>
      </c>
      <c r="Q41" s="12">
        <v>8.9800000000000005E-2</v>
      </c>
      <c r="R41" s="12">
        <v>4.04</v>
      </c>
      <c r="S41" s="6" t="s">
        <v>378</v>
      </c>
      <c r="T41" s="6" t="s">
        <v>379</v>
      </c>
      <c r="U41" s="6">
        <v>5</v>
      </c>
      <c r="V41" s="6">
        <v>5</v>
      </c>
      <c r="W41" s="6">
        <v>4500</v>
      </c>
      <c r="X41" s="6">
        <v>259070</v>
      </c>
      <c r="Y41" s="6" t="s">
        <v>233</v>
      </c>
      <c r="Z41" s="6"/>
      <c r="AA41" s="6" t="s">
        <v>380</v>
      </c>
      <c r="AB41" s="9" t="s">
        <v>235</v>
      </c>
      <c r="AC41" s="23" t="s">
        <v>381</v>
      </c>
    </row>
    <row r="42" spans="1:48" ht="15" customHeight="1">
      <c r="A42">
        <v>29</v>
      </c>
      <c r="B42" t="s">
        <v>80</v>
      </c>
      <c r="C42" t="s">
        <v>13</v>
      </c>
      <c r="D42">
        <v>3</v>
      </c>
      <c r="E42" t="s">
        <v>81</v>
      </c>
      <c r="F42" t="s">
        <v>11</v>
      </c>
      <c r="G42" t="s">
        <v>11</v>
      </c>
      <c r="H42">
        <f>2*Artnet_DMX_Converter5[[#This Row],[Quantity]]</f>
        <v>6</v>
      </c>
      <c r="I42" t="s">
        <v>11</v>
      </c>
      <c r="J42" t="s">
        <v>186</v>
      </c>
      <c r="N42" s="6" t="s">
        <v>393</v>
      </c>
      <c r="O42" s="6" t="s">
        <v>394</v>
      </c>
      <c r="P42" s="7">
        <v>100</v>
      </c>
      <c r="Q42" s="12">
        <v>1.4E-3</v>
      </c>
      <c r="R42" s="12">
        <v>0.14000000000000001</v>
      </c>
      <c r="S42" s="6" t="s">
        <v>395</v>
      </c>
      <c r="T42" s="6">
        <v>603</v>
      </c>
      <c r="U42" s="6">
        <v>100</v>
      </c>
      <c r="V42" s="6">
        <v>100</v>
      </c>
      <c r="W42" s="6">
        <v>5000</v>
      </c>
      <c r="X42" s="6">
        <v>4596000</v>
      </c>
      <c r="Y42" s="6" t="s">
        <v>233</v>
      </c>
      <c r="Z42" s="6"/>
      <c r="AA42" s="6" t="s">
        <v>396</v>
      </c>
      <c r="AB42" s="9" t="s">
        <v>235</v>
      </c>
      <c r="AC42" s="23" t="s">
        <v>397</v>
      </c>
    </row>
    <row r="43" spans="1:48" ht="15" customHeight="1">
      <c r="A43">
        <v>34</v>
      </c>
      <c r="B43" t="s">
        <v>93</v>
      </c>
      <c r="C43" t="s">
        <v>13</v>
      </c>
      <c r="D43">
        <v>4</v>
      </c>
      <c r="E43" t="s">
        <v>94</v>
      </c>
      <c r="F43" t="s">
        <v>11</v>
      </c>
      <c r="G43" t="s">
        <v>11</v>
      </c>
      <c r="H43">
        <f>2*Artnet_DMX_Converter5[[#This Row],[Quantity]]</f>
        <v>8</v>
      </c>
      <c r="I43" t="s">
        <v>11</v>
      </c>
      <c r="J43" t="s">
        <v>186</v>
      </c>
      <c r="N43" s="6" t="s">
        <v>398</v>
      </c>
      <c r="O43" s="6" t="s">
        <v>394</v>
      </c>
      <c r="P43" s="7">
        <v>100</v>
      </c>
      <c r="Q43" s="12">
        <v>1.4E-3</v>
      </c>
      <c r="R43" s="12">
        <v>0.14000000000000001</v>
      </c>
      <c r="S43" s="6" t="s">
        <v>399</v>
      </c>
      <c r="T43" s="6">
        <v>603</v>
      </c>
      <c r="U43" s="6">
        <v>100</v>
      </c>
      <c r="V43" s="6">
        <v>100</v>
      </c>
      <c r="W43" s="6">
        <v>5000</v>
      </c>
      <c r="X43" s="6">
        <v>9034300</v>
      </c>
      <c r="Y43" s="6" t="s">
        <v>233</v>
      </c>
      <c r="Z43" s="6"/>
      <c r="AA43" s="6" t="s">
        <v>400</v>
      </c>
      <c r="AB43" s="9" t="s">
        <v>235</v>
      </c>
      <c r="AC43" s="23" t="s">
        <v>401</v>
      </c>
    </row>
    <row r="44" spans="1:48" ht="15" customHeight="1">
      <c r="A44">
        <v>19</v>
      </c>
      <c r="B44" t="s">
        <v>54</v>
      </c>
      <c r="C44" t="s">
        <v>13</v>
      </c>
      <c r="D44">
        <v>4</v>
      </c>
      <c r="E44" t="s">
        <v>55</v>
      </c>
      <c r="F44" t="s">
        <v>11</v>
      </c>
      <c r="G44" t="s">
        <v>11</v>
      </c>
      <c r="H44">
        <f>2*Artnet_DMX_Converter5[[#This Row],[Quantity]]</f>
        <v>8</v>
      </c>
      <c r="I44" t="s">
        <v>11</v>
      </c>
      <c r="J44" t="s">
        <v>186</v>
      </c>
      <c r="N44" s="6" t="s">
        <v>402</v>
      </c>
      <c r="O44" s="6" t="s">
        <v>394</v>
      </c>
      <c r="P44" s="7">
        <v>100</v>
      </c>
      <c r="Q44" s="12">
        <v>1.5E-3</v>
      </c>
      <c r="R44" s="12">
        <v>0.15</v>
      </c>
      <c r="S44" s="6" t="s">
        <v>403</v>
      </c>
      <c r="T44" s="6">
        <v>603</v>
      </c>
      <c r="U44" s="6">
        <v>100</v>
      </c>
      <c r="V44" s="6">
        <v>100</v>
      </c>
      <c r="W44" s="6">
        <v>5000</v>
      </c>
      <c r="X44" s="6">
        <v>1912100</v>
      </c>
      <c r="Y44" s="6" t="s">
        <v>233</v>
      </c>
      <c r="Z44" s="6"/>
      <c r="AA44" s="6" t="s">
        <v>404</v>
      </c>
      <c r="AB44" s="9" t="s">
        <v>235</v>
      </c>
      <c r="AC44" s="23" t="s">
        <v>405</v>
      </c>
    </row>
    <row r="45" spans="1:48" ht="15" customHeight="1">
      <c r="A45">
        <v>38</v>
      </c>
      <c r="B45" t="s">
        <v>103</v>
      </c>
      <c r="C45" t="s">
        <v>13</v>
      </c>
      <c r="D45">
        <v>1</v>
      </c>
      <c r="E45" t="s">
        <v>104</v>
      </c>
      <c r="F45" t="s">
        <v>11</v>
      </c>
      <c r="G45" t="s">
        <v>11</v>
      </c>
      <c r="H45">
        <f>2*Artnet_DMX_Converter5[[#This Row],[Quantity]]</f>
        <v>2</v>
      </c>
      <c r="I45" t="s">
        <v>11</v>
      </c>
      <c r="J45" t="s">
        <v>186</v>
      </c>
      <c r="N45" s="6" t="s">
        <v>406</v>
      </c>
      <c r="O45" s="6" t="s">
        <v>394</v>
      </c>
      <c r="P45" s="7">
        <v>100</v>
      </c>
      <c r="Q45" s="12">
        <v>1.5E-3</v>
      </c>
      <c r="R45" s="12">
        <v>0.15</v>
      </c>
      <c r="S45" s="6" t="s">
        <v>407</v>
      </c>
      <c r="T45" s="6">
        <v>603</v>
      </c>
      <c r="U45" s="6">
        <v>100</v>
      </c>
      <c r="V45" s="6">
        <v>100</v>
      </c>
      <c r="W45" s="6">
        <v>5000</v>
      </c>
      <c r="X45" s="6">
        <v>711300</v>
      </c>
      <c r="Y45" s="6" t="s">
        <v>233</v>
      </c>
      <c r="Z45" s="6"/>
      <c r="AA45" s="6" t="s">
        <v>408</v>
      </c>
      <c r="AB45" s="9" t="s">
        <v>235</v>
      </c>
      <c r="AC45" s="23" t="s">
        <v>409</v>
      </c>
    </row>
    <row r="46" spans="1:48" ht="15" customHeight="1">
      <c r="A46">
        <v>2</v>
      </c>
      <c r="B46" t="s">
        <v>12</v>
      </c>
      <c r="C46" t="s">
        <v>13</v>
      </c>
      <c r="D46">
        <v>1</v>
      </c>
      <c r="E46" t="s">
        <v>14</v>
      </c>
      <c r="F46" t="s">
        <v>11</v>
      </c>
      <c r="G46" t="s">
        <v>11</v>
      </c>
      <c r="H46">
        <f>2*Artnet_DMX_Converter5[[#This Row],[Quantity]]</f>
        <v>2</v>
      </c>
      <c r="I46" t="s">
        <v>11</v>
      </c>
      <c r="J46" t="s">
        <v>186</v>
      </c>
      <c r="N46" s="21" t="s">
        <v>646</v>
      </c>
      <c r="O46" s="21" t="s">
        <v>394</v>
      </c>
      <c r="P46" s="21">
        <v>100</v>
      </c>
      <c r="Q46" s="12">
        <v>4.3E-3</v>
      </c>
      <c r="R46" s="12">
        <v>0.43</v>
      </c>
      <c r="S46" s="21" t="s">
        <v>647</v>
      </c>
      <c r="T46" s="21">
        <v>603</v>
      </c>
      <c r="U46" s="21">
        <v>100</v>
      </c>
      <c r="V46" s="21">
        <v>100</v>
      </c>
      <c r="W46" s="21">
        <v>5000</v>
      </c>
      <c r="X46" s="21">
        <v>1937200</v>
      </c>
      <c r="Y46" s="21" t="s">
        <v>233</v>
      </c>
      <c r="Z46" s="21"/>
      <c r="AA46" s="21" t="s">
        <v>648</v>
      </c>
      <c r="AB46" t="s">
        <v>235</v>
      </c>
      <c r="AC46" s="25" t="s">
        <v>649</v>
      </c>
    </row>
    <row r="47" spans="1:48" ht="15" customHeight="1">
      <c r="A47">
        <v>72</v>
      </c>
      <c r="B47" t="s">
        <v>178</v>
      </c>
      <c r="C47" t="s">
        <v>13</v>
      </c>
      <c r="D47">
        <v>1</v>
      </c>
      <c r="E47" t="s">
        <v>179</v>
      </c>
      <c r="F47" t="s">
        <v>11</v>
      </c>
      <c r="G47" t="s">
        <v>11</v>
      </c>
      <c r="H47">
        <f>2*Artnet_DMX_Converter5[[#This Row],[Quantity]]</f>
        <v>2</v>
      </c>
      <c r="I47" t="s">
        <v>11</v>
      </c>
      <c r="J47" t="s">
        <v>186</v>
      </c>
      <c r="N47" s="6" t="s">
        <v>410</v>
      </c>
      <c r="O47" s="6" t="s">
        <v>394</v>
      </c>
      <c r="P47" s="7">
        <v>100</v>
      </c>
      <c r="Q47" s="12">
        <v>1.5E-3</v>
      </c>
      <c r="R47" s="12">
        <v>0.15</v>
      </c>
      <c r="S47" s="6" t="s">
        <v>411</v>
      </c>
      <c r="T47" s="6">
        <v>603</v>
      </c>
      <c r="U47" s="6">
        <v>100</v>
      </c>
      <c r="V47" s="6">
        <v>100</v>
      </c>
      <c r="W47" s="6">
        <v>5000</v>
      </c>
      <c r="X47" s="6">
        <v>38200</v>
      </c>
      <c r="Y47" s="6" t="s">
        <v>233</v>
      </c>
      <c r="Z47" s="6"/>
      <c r="AA47" s="6" t="s">
        <v>412</v>
      </c>
      <c r="AB47" s="9" t="s">
        <v>235</v>
      </c>
      <c r="AC47" s="23" t="s">
        <v>413</v>
      </c>
    </row>
    <row r="48" spans="1:48" ht="15" customHeight="1">
      <c r="A48">
        <v>54</v>
      </c>
      <c r="B48" t="s">
        <v>141</v>
      </c>
      <c r="C48" t="s">
        <v>25</v>
      </c>
      <c r="D48">
        <v>1</v>
      </c>
      <c r="E48" t="s">
        <v>55</v>
      </c>
      <c r="F48" t="s">
        <v>11</v>
      </c>
      <c r="G48" t="s">
        <v>11</v>
      </c>
      <c r="H48">
        <f>2*Artnet_DMX_Converter5[[#This Row],[Quantity]]</f>
        <v>2</v>
      </c>
      <c r="I48" t="s">
        <v>11</v>
      </c>
      <c r="J48" t="s">
        <v>186</v>
      </c>
      <c r="N48" s="6" t="s">
        <v>451</v>
      </c>
      <c r="O48" s="6" t="s">
        <v>394</v>
      </c>
      <c r="P48" s="7">
        <v>100</v>
      </c>
      <c r="Q48" s="12">
        <v>8.0000000000000004E-4</v>
      </c>
      <c r="R48" s="12">
        <v>0.08</v>
      </c>
      <c r="S48" s="6" t="s">
        <v>452</v>
      </c>
      <c r="T48" s="6">
        <v>402</v>
      </c>
      <c r="U48" s="6">
        <v>100</v>
      </c>
      <c r="V48" s="6">
        <v>100</v>
      </c>
      <c r="W48" s="6">
        <v>10000</v>
      </c>
      <c r="X48" s="6">
        <v>1384200</v>
      </c>
      <c r="Y48" s="6" t="s">
        <v>233</v>
      </c>
      <c r="Z48" s="6"/>
      <c r="AA48" s="6" t="s">
        <v>453</v>
      </c>
      <c r="AB48" s="9" t="s">
        <v>235</v>
      </c>
      <c r="AC48" s="23" t="s">
        <v>454</v>
      </c>
    </row>
    <row r="49" spans="1:40" ht="15" customHeight="1">
      <c r="A49">
        <v>73</v>
      </c>
      <c r="B49" t="s">
        <v>180</v>
      </c>
      <c r="C49" t="s">
        <v>13</v>
      </c>
      <c r="D49">
        <v>1</v>
      </c>
      <c r="E49" t="s">
        <v>181</v>
      </c>
      <c r="F49" t="s">
        <v>11</v>
      </c>
      <c r="G49" t="s">
        <v>11</v>
      </c>
      <c r="H49">
        <f>2*Artnet_DMX_Converter5[[#This Row],[Quantity]]</f>
        <v>2</v>
      </c>
      <c r="I49" t="s">
        <v>11</v>
      </c>
      <c r="J49" t="s">
        <v>186</v>
      </c>
      <c r="N49" s="6" t="s">
        <v>414</v>
      </c>
      <c r="O49" s="6" t="s">
        <v>394</v>
      </c>
      <c r="P49" s="7">
        <v>100</v>
      </c>
      <c r="Q49" s="12">
        <v>1.5E-3</v>
      </c>
      <c r="R49" s="12">
        <v>0.15</v>
      </c>
      <c r="S49" s="6" t="s">
        <v>415</v>
      </c>
      <c r="T49" s="6">
        <v>603</v>
      </c>
      <c r="U49" s="6">
        <v>100</v>
      </c>
      <c r="V49" s="6">
        <v>100</v>
      </c>
      <c r="W49" s="6">
        <v>5000</v>
      </c>
      <c r="X49" s="6">
        <v>164800</v>
      </c>
      <c r="Y49" s="6" t="s">
        <v>233</v>
      </c>
      <c r="Z49" s="6"/>
      <c r="AA49" s="6" t="s">
        <v>416</v>
      </c>
      <c r="AB49" s="9" t="s">
        <v>235</v>
      </c>
      <c r="AC49" s="23" t="s">
        <v>417</v>
      </c>
    </row>
    <row r="50" spans="1:40" ht="15" customHeight="1">
      <c r="A50">
        <v>24</v>
      </c>
      <c r="B50" t="s">
        <v>67</v>
      </c>
      <c r="C50" t="s">
        <v>13</v>
      </c>
      <c r="D50">
        <v>1</v>
      </c>
      <c r="E50" t="s">
        <v>68</v>
      </c>
      <c r="F50" t="s">
        <v>11</v>
      </c>
      <c r="G50" t="s">
        <v>11</v>
      </c>
      <c r="H50">
        <f>2*Artnet_DMX_Converter5[[#This Row],[Quantity]]</f>
        <v>2</v>
      </c>
      <c r="I50" t="s">
        <v>11</v>
      </c>
      <c r="J50" t="s">
        <v>186</v>
      </c>
      <c r="N50" s="6" t="s">
        <v>418</v>
      </c>
      <c r="O50" s="6" t="s">
        <v>394</v>
      </c>
      <c r="P50" s="7">
        <v>100</v>
      </c>
      <c r="Q50" s="12">
        <v>1.4E-3</v>
      </c>
      <c r="R50" s="12">
        <v>0.14000000000000001</v>
      </c>
      <c r="S50" s="6" t="s">
        <v>419</v>
      </c>
      <c r="T50" s="6">
        <v>603</v>
      </c>
      <c r="U50" s="6">
        <v>100</v>
      </c>
      <c r="V50" s="6">
        <v>100</v>
      </c>
      <c r="W50" s="6">
        <v>5000</v>
      </c>
      <c r="X50" s="6">
        <v>7700</v>
      </c>
      <c r="Y50" s="6" t="s">
        <v>233</v>
      </c>
      <c r="Z50" s="6"/>
      <c r="AA50" s="6" t="s">
        <v>420</v>
      </c>
      <c r="AB50" s="9" t="s">
        <v>235</v>
      </c>
      <c r="AC50" s="23" t="s">
        <v>421</v>
      </c>
    </row>
    <row r="51" spans="1:40" ht="15" customHeight="1">
      <c r="A51">
        <v>46</v>
      </c>
      <c r="B51" t="s">
        <v>190</v>
      </c>
      <c r="C51" t="s">
        <v>13</v>
      </c>
      <c r="D51">
        <v>5</v>
      </c>
      <c r="E51" t="s">
        <v>122</v>
      </c>
      <c r="F51" t="s">
        <v>11</v>
      </c>
      <c r="G51" t="s">
        <v>11</v>
      </c>
      <c r="H51">
        <f>2*Artnet_DMX_Converter5[[#This Row],[Quantity]]</f>
        <v>10</v>
      </c>
      <c r="I51" t="s">
        <v>11</v>
      </c>
      <c r="J51" t="s">
        <v>186</v>
      </c>
      <c r="N51" s="6" t="s">
        <v>422</v>
      </c>
      <c r="O51" s="6" t="s">
        <v>394</v>
      </c>
      <c r="P51" s="7">
        <v>100</v>
      </c>
      <c r="Q51" s="12">
        <v>1.2999999999999999E-3</v>
      </c>
      <c r="R51" s="12">
        <v>0.13</v>
      </c>
      <c r="S51" s="6" t="s">
        <v>423</v>
      </c>
      <c r="T51" s="6">
        <v>603</v>
      </c>
      <c r="U51" s="6">
        <v>100</v>
      </c>
      <c r="V51" s="6">
        <v>100</v>
      </c>
      <c r="W51" s="6">
        <v>5000</v>
      </c>
      <c r="X51" s="6">
        <v>2174100</v>
      </c>
      <c r="Y51" s="6" t="s">
        <v>233</v>
      </c>
      <c r="Z51" s="6"/>
      <c r="AA51" s="6" t="s">
        <v>424</v>
      </c>
      <c r="AB51" s="9" t="s">
        <v>235</v>
      </c>
      <c r="AC51" s="23" t="s">
        <v>425</v>
      </c>
    </row>
    <row r="52" spans="1:40" ht="15" customHeight="1">
      <c r="A52">
        <v>55</v>
      </c>
      <c r="B52" t="s">
        <v>143</v>
      </c>
      <c r="C52" t="s">
        <v>13</v>
      </c>
      <c r="D52">
        <v>1</v>
      </c>
      <c r="E52" t="s">
        <v>144</v>
      </c>
      <c r="F52" t="s">
        <v>11</v>
      </c>
      <c r="G52" t="s">
        <v>11</v>
      </c>
      <c r="H52">
        <f>2*Artnet_DMX_Converter5[[#This Row],[Quantity]]</f>
        <v>2</v>
      </c>
      <c r="I52" t="s">
        <v>11</v>
      </c>
      <c r="J52" t="s">
        <v>186</v>
      </c>
      <c r="N52" s="6" t="s">
        <v>426</v>
      </c>
      <c r="O52" s="6" t="s">
        <v>394</v>
      </c>
      <c r="P52" s="7">
        <v>100</v>
      </c>
      <c r="Q52" s="12">
        <v>1.4E-3</v>
      </c>
      <c r="R52" s="12">
        <v>0.14000000000000001</v>
      </c>
      <c r="S52" s="6" t="s">
        <v>427</v>
      </c>
      <c r="T52" s="6">
        <v>603</v>
      </c>
      <c r="U52" s="6">
        <v>100</v>
      </c>
      <c r="V52" s="6">
        <v>100</v>
      </c>
      <c r="W52" s="6">
        <v>5000</v>
      </c>
      <c r="X52" s="6">
        <v>20500</v>
      </c>
      <c r="Y52" s="6" t="s">
        <v>233</v>
      </c>
      <c r="Z52" s="6"/>
      <c r="AA52" s="6" t="s">
        <v>428</v>
      </c>
      <c r="AB52" s="9" t="s">
        <v>235</v>
      </c>
      <c r="AC52" s="23" t="s">
        <v>429</v>
      </c>
    </row>
    <row r="53" spans="1:40" ht="15" customHeight="1">
      <c r="A53">
        <v>68</v>
      </c>
      <c r="B53" t="s">
        <v>168</v>
      </c>
      <c r="C53" t="s">
        <v>13</v>
      </c>
      <c r="D53">
        <v>1</v>
      </c>
      <c r="E53" t="s">
        <v>169</v>
      </c>
      <c r="F53" t="s">
        <v>11</v>
      </c>
      <c r="G53" t="s">
        <v>11</v>
      </c>
      <c r="H53">
        <f>2*Artnet_DMX_Converter5[[#This Row],[Quantity]]</f>
        <v>2</v>
      </c>
      <c r="I53" t="s">
        <v>11</v>
      </c>
      <c r="J53" t="s">
        <v>186</v>
      </c>
      <c r="N53" s="6" t="s">
        <v>430</v>
      </c>
      <c r="O53" s="6" t="s">
        <v>394</v>
      </c>
      <c r="P53" s="7">
        <v>100</v>
      </c>
      <c r="Q53" s="12">
        <v>1.8E-3</v>
      </c>
      <c r="R53" s="12">
        <v>0.18</v>
      </c>
      <c r="S53" s="6" t="s">
        <v>431</v>
      </c>
      <c r="T53" s="6">
        <v>603</v>
      </c>
      <c r="U53" s="6">
        <v>100</v>
      </c>
      <c r="V53" s="6">
        <v>100</v>
      </c>
      <c r="W53" s="6">
        <v>5000</v>
      </c>
      <c r="X53" s="6">
        <v>0</v>
      </c>
      <c r="Y53" s="6" t="s">
        <v>432</v>
      </c>
      <c r="Z53" s="6"/>
      <c r="AA53" s="6" t="s">
        <v>433</v>
      </c>
      <c r="AB53" s="9" t="s">
        <v>235</v>
      </c>
      <c r="AC53" s="23" t="s">
        <v>434</v>
      </c>
    </row>
    <row r="54" spans="1:40" ht="15" customHeight="1">
      <c r="A54">
        <v>67</v>
      </c>
      <c r="B54" t="s">
        <v>166</v>
      </c>
      <c r="C54" t="s">
        <v>13</v>
      </c>
      <c r="D54">
        <v>1</v>
      </c>
      <c r="E54" t="s">
        <v>167</v>
      </c>
      <c r="F54" t="s">
        <v>11</v>
      </c>
      <c r="G54" t="s">
        <v>11</v>
      </c>
      <c r="H54">
        <f>2*Artnet_DMX_Converter5[[#This Row],[Quantity]]</f>
        <v>2</v>
      </c>
      <c r="I54" t="s">
        <v>11</v>
      </c>
      <c r="J54" t="s">
        <v>186</v>
      </c>
      <c r="N54" s="6" t="s">
        <v>435</v>
      </c>
      <c r="O54" s="6" t="s">
        <v>394</v>
      </c>
      <c r="P54" s="7">
        <v>100</v>
      </c>
      <c r="Q54" s="12">
        <v>1.5E-3</v>
      </c>
      <c r="R54" s="12">
        <v>0.15</v>
      </c>
      <c r="S54" s="6" t="s">
        <v>436</v>
      </c>
      <c r="T54" s="6">
        <v>603</v>
      </c>
      <c r="U54" s="6">
        <v>100</v>
      </c>
      <c r="V54" s="6">
        <v>100</v>
      </c>
      <c r="W54" s="6">
        <v>5000</v>
      </c>
      <c r="X54" s="6">
        <v>0</v>
      </c>
      <c r="Y54" s="6" t="s">
        <v>432</v>
      </c>
      <c r="Z54" s="6"/>
      <c r="AA54" s="6" t="s">
        <v>437</v>
      </c>
      <c r="AB54" s="9" t="s">
        <v>235</v>
      </c>
      <c r="AC54" s="23" t="s">
        <v>438</v>
      </c>
    </row>
    <row r="55" spans="1:40" ht="15" customHeight="1">
      <c r="A55">
        <v>4</v>
      </c>
      <c r="B55" t="s">
        <v>18</v>
      </c>
      <c r="C55" t="s">
        <v>13</v>
      </c>
      <c r="D55">
        <v>8</v>
      </c>
      <c r="E55" t="s">
        <v>19</v>
      </c>
      <c r="F55" t="s">
        <v>11</v>
      </c>
      <c r="G55" t="s">
        <v>11</v>
      </c>
      <c r="H55">
        <f>2*Artnet_DMX_Converter5[[#This Row],[Quantity]]</f>
        <v>16</v>
      </c>
      <c r="I55" t="s">
        <v>11</v>
      </c>
      <c r="J55" t="s">
        <v>186</v>
      </c>
      <c r="N55" s="6" t="s">
        <v>439</v>
      </c>
      <c r="O55" s="6" t="s">
        <v>394</v>
      </c>
      <c r="P55" s="7">
        <v>100</v>
      </c>
      <c r="Q55" s="12">
        <v>1.4E-3</v>
      </c>
      <c r="R55" s="12">
        <v>0.14000000000000001</v>
      </c>
      <c r="S55" s="6" t="s">
        <v>440</v>
      </c>
      <c r="T55" s="6">
        <v>603</v>
      </c>
      <c r="U55" s="6">
        <v>100</v>
      </c>
      <c r="V55" s="6">
        <v>100</v>
      </c>
      <c r="W55" s="6">
        <v>5000</v>
      </c>
      <c r="X55" s="6">
        <v>6700</v>
      </c>
      <c r="Y55" s="6" t="s">
        <v>233</v>
      </c>
      <c r="Z55" s="6"/>
      <c r="AA55" s="6" t="s">
        <v>441</v>
      </c>
      <c r="AB55" s="9" t="s">
        <v>235</v>
      </c>
      <c r="AC55" s="23" t="s">
        <v>442</v>
      </c>
    </row>
    <row r="56" spans="1:40" ht="15" customHeight="1">
      <c r="A56">
        <v>26</v>
      </c>
      <c r="B56" t="s">
        <v>72</v>
      </c>
      <c r="C56" t="s">
        <v>13</v>
      </c>
      <c r="D56">
        <v>4</v>
      </c>
      <c r="E56" t="s">
        <v>73</v>
      </c>
      <c r="F56" t="s">
        <v>11</v>
      </c>
      <c r="G56" t="s">
        <v>11</v>
      </c>
      <c r="H56">
        <f>2*Artnet_DMX_Converter5[[#This Row],[Quantity]]</f>
        <v>8</v>
      </c>
      <c r="I56" t="s">
        <v>11</v>
      </c>
      <c r="J56" t="s">
        <v>186</v>
      </c>
      <c r="N56" s="6" t="s">
        <v>443</v>
      </c>
      <c r="O56" s="6" t="s">
        <v>394</v>
      </c>
      <c r="P56" s="7">
        <v>100</v>
      </c>
      <c r="Q56" s="12">
        <v>6.9999999999999999E-4</v>
      </c>
      <c r="R56" s="12">
        <v>7.0000000000000007E-2</v>
      </c>
      <c r="S56" s="6" t="s">
        <v>444</v>
      </c>
      <c r="T56" s="6">
        <v>603</v>
      </c>
      <c r="U56" s="6">
        <v>100</v>
      </c>
      <c r="V56" s="6">
        <v>100</v>
      </c>
      <c r="W56" s="6">
        <v>5000</v>
      </c>
      <c r="X56" s="6">
        <v>0</v>
      </c>
      <c r="Y56" s="6" t="s">
        <v>432</v>
      </c>
      <c r="Z56" s="6"/>
      <c r="AA56" s="6" t="s">
        <v>445</v>
      </c>
      <c r="AB56" s="9" t="s">
        <v>235</v>
      </c>
      <c r="AC56" s="23" t="s">
        <v>446</v>
      </c>
    </row>
    <row r="57" spans="1:40" ht="15" customHeight="1">
      <c r="A57">
        <v>61</v>
      </c>
      <c r="B57" t="s">
        <v>188</v>
      </c>
      <c r="C57" t="s">
        <v>13</v>
      </c>
      <c r="D57">
        <v>1</v>
      </c>
      <c r="E57" t="s">
        <v>142</v>
      </c>
      <c r="F57" t="s">
        <v>11</v>
      </c>
      <c r="G57" t="s">
        <v>11</v>
      </c>
      <c r="H57">
        <f>2*Artnet_DMX_Converter5[[#This Row],[Quantity]]</f>
        <v>2</v>
      </c>
      <c r="I57" t="s">
        <v>11</v>
      </c>
      <c r="J57" t="s">
        <v>186</v>
      </c>
      <c r="N57" s="6" t="s">
        <v>447</v>
      </c>
      <c r="O57" s="6" t="s">
        <v>394</v>
      </c>
      <c r="P57" s="7">
        <v>100</v>
      </c>
      <c r="Q57" s="12">
        <v>1.5E-3</v>
      </c>
      <c r="R57" s="12">
        <v>0.15</v>
      </c>
      <c r="S57" s="6" t="s">
        <v>448</v>
      </c>
      <c r="T57" s="6">
        <v>603</v>
      </c>
      <c r="U57" s="6">
        <v>100</v>
      </c>
      <c r="V57" s="6">
        <v>100</v>
      </c>
      <c r="W57" s="6">
        <v>5000</v>
      </c>
      <c r="X57" s="6">
        <v>30900</v>
      </c>
      <c r="Y57" s="6" t="s">
        <v>233</v>
      </c>
      <c r="Z57" s="6"/>
      <c r="AA57" s="6" t="s">
        <v>449</v>
      </c>
      <c r="AB57" s="9" t="s">
        <v>235</v>
      </c>
      <c r="AC57" s="23" t="s">
        <v>450</v>
      </c>
    </row>
    <row r="58" spans="1:40" ht="15" customHeight="1">
      <c r="A58">
        <v>7</v>
      </c>
      <c r="B58" t="s">
        <v>24</v>
      </c>
      <c r="C58" t="s">
        <v>25</v>
      </c>
      <c r="D58">
        <v>2</v>
      </c>
      <c r="E58" t="s">
        <v>26</v>
      </c>
      <c r="F58" t="s">
        <v>11</v>
      </c>
      <c r="G58" t="s">
        <v>11</v>
      </c>
      <c r="H58">
        <f>2*Artnet_DMX_Converter5[[#This Row],[Quantity]]</f>
        <v>4</v>
      </c>
      <c r="I58" t="s">
        <v>11</v>
      </c>
      <c r="J58" t="s">
        <v>186</v>
      </c>
      <c r="N58" s="6" t="s">
        <v>455</v>
      </c>
      <c r="O58" s="6" t="s">
        <v>394</v>
      </c>
      <c r="P58" s="7">
        <v>100</v>
      </c>
      <c r="Q58" s="12">
        <v>8.9999999999999998E-4</v>
      </c>
      <c r="R58" s="12">
        <v>0.09</v>
      </c>
      <c r="S58" s="6" t="s">
        <v>456</v>
      </c>
      <c r="T58" s="6">
        <v>402</v>
      </c>
      <c r="U58" s="6">
        <v>100</v>
      </c>
      <c r="V58" s="6">
        <v>100</v>
      </c>
      <c r="W58" s="6">
        <v>10000</v>
      </c>
      <c r="X58" s="6">
        <v>134000</v>
      </c>
      <c r="Y58" s="6" t="s">
        <v>233</v>
      </c>
      <c r="Z58" s="6"/>
      <c r="AA58" s="6" t="s">
        <v>457</v>
      </c>
      <c r="AB58" s="9" t="s">
        <v>235</v>
      </c>
      <c r="AC58" s="23" t="s">
        <v>458</v>
      </c>
      <c r="AN58" s="4"/>
    </row>
    <row r="59" spans="1:40" ht="15" customHeight="1">
      <c r="A59">
        <v>64</v>
      </c>
      <c r="B59" t="s">
        <v>160</v>
      </c>
      <c r="C59" t="s">
        <v>25</v>
      </c>
      <c r="D59">
        <v>1</v>
      </c>
      <c r="E59" t="s">
        <v>81</v>
      </c>
      <c r="F59" t="s">
        <v>11</v>
      </c>
      <c r="G59" t="s">
        <v>11</v>
      </c>
      <c r="H59">
        <f>2*Artnet_DMX_Converter5[[#This Row],[Quantity]]</f>
        <v>2</v>
      </c>
      <c r="I59" t="s">
        <v>11</v>
      </c>
      <c r="J59" t="s">
        <v>186</v>
      </c>
      <c r="N59" s="6" t="s">
        <v>459</v>
      </c>
      <c r="O59" s="6" t="s">
        <v>394</v>
      </c>
      <c r="P59" s="7">
        <v>100</v>
      </c>
      <c r="Q59" s="12">
        <v>8.0000000000000004E-4</v>
      </c>
      <c r="R59" s="12">
        <v>0.08</v>
      </c>
      <c r="S59" s="6" t="s">
        <v>460</v>
      </c>
      <c r="T59" s="6">
        <v>402</v>
      </c>
      <c r="U59" s="6">
        <v>100</v>
      </c>
      <c r="V59" s="6">
        <v>100</v>
      </c>
      <c r="W59" s="6">
        <v>10000</v>
      </c>
      <c r="X59" s="6">
        <v>5619500</v>
      </c>
      <c r="Y59" s="6" t="s">
        <v>233</v>
      </c>
      <c r="Z59" s="6"/>
      <c r="AA59" s="6" t="s">
        <v>461</v>
      </c>
      <c r="AB59" s="9" t="s">
        <v>235</v>
      </c>
      <c r="AC59" s="23" t="s">
        <v>462</v>
      </c>
      <c r="AN59" s="4"/>
    </row>
    <row r="60" spans="1:40" ht="15" customHeight="1">
      <c r="A60">
        <v>45</v>
      </c>
      <c r="B60" t="s">
        <v>120</v>
      </c>
      <c r="C60" t="s">
        <v>121</v>
      </c>
      <c r="D60">
        <v>3</v>
      </c>
      <c r="E60" t="s">
        <v>121</v>
      </c>
      <c r="F60" t="s">
        <v>11</v>
      </c>
      <c r="G60" t="s">
        <v>11</v>
      </c>
      <c r="H60">
        <f>2*Artnet_DMX_Converter5[[#This Row],[Quantity]]</f>
        <v>6</v>
      </c>
      <c r="I60" t="s">
        <v>11</v>
      </c>
      <c r="K60" t="s">
        <v>186</v>
      </c>
      <c r="N60" s="13" t="s">
        <v>121</v>
      </c>
      <c r="O60" s="14" t="s">
        <v>629</v>
      </c>
      <c r="P60" s="15">
        <v>6</v>
      </c>
      <c r="Q60" s="16">
        <v>1.01</v>
      </c>
      <c r="R60" s="16">
        <v>6.06</v>
      </c>
      <c r="S60" s="14" t="s">
        <v>632</v>
      </c>
      <c r="AC60" s="25" t="s">
        <v>643</v>
      </c>
      <c r="AN60" s="4"/>
    </row>
    <row r="61" spans="1:40" ht="15" customHeight="1">
      <c r="A61">
        <v>36</v>
      </c>
      <c r="B61" t="s">
        <v>98</v>
      </c>
      <c r="C61" t="s">
        <v>99</v>
      </c>
      <c r="D61">
        <v>2</v>
      </c>
      <c r="E61" t="s">
        <v>100</v>
      </c>
      <c r="F61" t="s">
        <v>11</v>
      </c>
      <c r="G61" t="s">
        <v>11</v>
      </c>
      <c r="H61">
        <f>2*Artnet_DMX_Converter5[[#This Row],[Quantity]]</f>
        <v>4</v>
      </c>
      <c r="I61" t="s">
        <v>11</v>
      </c>
      <c r="J61" t="s">
        <v>186</v>
      </c>
      <c r="N61" s="6" t="s">
        <v>463</v>
      </c>
      <c r="O61" s="6" t="s">
        <v>464</v>
      </c>
      <c r="P61" s="7">
        <v>100</v>
      </c>
      <c r="Q61" s="12">
        <v>5.0000000000000001E-3</v>
      </c>
      <c r="R61" s="12">
        <v>0.5</v>
      </c>
      <c r="S61" s="6" t="s">
        <v>465</v>
      </c>
      <c r="T61" s="6" t="s">
        <v>466</v>
      </c>
      <c r="U61" s="6">
        <v>100</v>
      </c>
      <c r="V61" s="6">
        <v>100</v>
      </c>
      <c r="W61" s="6">
        <v>5000</v>
      </c>
      <c r="X61" s="6">
        <v>584400</v>
      </c>
      <c r="Y61" s="6" t="s">
        <v>233</v>
      </c>
      <c r="Z61" s="6"/>
      <c r="AA61" s="6" t="s">
        <v>467</v>
      </c>
      <c r="AB61" s="9" t="s">
        <v>235</v>
      </c>
      <c r="AC61" s="23" t="s">
        <v>468</v>
      </c>
      <c r="AN61" s="4"/>
    </row>
    <row r="62" spans="1:40" ht="15" customHeight="1">
      <c r="A62">
        <v>59</v>
      </c>
      <c r="B62" t="s">
        <v>151</v>
      </c>
      <c r="C62" t="s">
        <v>99</v>
      </c>
      <c r="D62">
        <v>1</v>
      </c>
      <c r="E62" t="s">
        <v>94</v>
      </c>
      <c r="F62" t="s">
        <v>11</v>
      </c>
      <c r="G62" t="s">
        <v>11</v>
      </c>
      <c r="H62">
        <f>2*Artnet_DMX_Converter5[[#This Row],[Quantity]]</f>
        <v>2</v>
      </c>
      <c r="I62" t="s">
        <v>11</v>
      </c>
      <c r="J62" t="s">
        <v>186</v>
      </c>
      <c r="N62" s="6" t="s">
        <v>469</v>
      </c>
      <c r="O62" s="6" t="s">
        <v>394</v>
      </c>
      <c r="P62" s="7">
        <v>50</v>
      </c>
      <c r="Q62" s="12">
        <v>9.2999999999999992E-3</v>
      </c>
      <c r="R62" s="12">
        <v>0.47</v>
      </c>
      <c r="S62" s="6" t="s">
        <v>470</v>
      </c>
      <c r="T62" s="6" t="s">
        <v>466</v>
      </c>
      <c r="U62" s="6">
        <v>50</v>
      </c>
      <c r="V62" s="6">
        <v>50</v>
      </c>
      <c r="W62" s="6">
        <v>5000</v>
      </c>
      <c r="X62" s="6">
        <v>15400</v>
      </c>
      <c r="Y62" s="6" t="s">
        <v>233</v>
      </c>
      <c r="Z62" s="6"/>
      <c r="AA62" s="6" t="s">
        <v>471</v>
      </c>
      <c r="AB62" s="9" t="s">
        <v>235</v>
      </c>
      <c r="AC62" s="23" t="s">
        <v>472</v>
      </c>
      <c r="AN62" s="4"/>
    </row>
    <row r="63" spans="1:40" ht="15" customHeight="1">
      <c r="A63">
        <v>18</v>
      </c>
      <c r="B63" t="s">
        <v>51</v>
      </c>
      <c r="C63" t="s">
        <v>52</v>
      </c>
      <c r="D63">
        <v>2</v>
      </c>
      <c r="E63" t="s">
        <v>53</v>
      </c>
      <c r="F63" t="s">
        <v>11</v>
      </c>
      <c r="G63" t="s">
        <v>11</v>
      </c>
      <c r="H63">
        <f>2*Artnet_DMX_Converter5[[#This Row],[Quantity]]</f>
        <v>4</v>
      </c>
      <c r="I63" t="s">
        <v>11</v>
      </c>
      <c r="J63" t="s">
        <v>186</v>
      </c>
      <c r="N63" s="6" t="s">
        <v>473</v>
      </c>
      <c r="O63" s="6" t="s">
        <v>474</v>
      </c>
      <c r="P63" s="7">
        <v>5</v>
      </c>
      <c r="Q63" s="12">
        <v>0.21879999999999999</v>
      </c>
      <c r="R63" s="12">
        <v>1.0900000000000001</v>
      </c>
      <c r="S63" s="6" t="s">
        <v>475</v>
      </c>
      <c r="T63" s="6" t="s">
        <v>476</v>
      </c>
      <c r="U63" s="6">
        <v>5</v>
      </c>
      <c r="V63" s="6">
        <v>5</v>
      </c>
      <c r="W63" s="6">
        <v>3500</v>
      </c>
      <c r="X63" s="6">
        <v>107795</v>
      </c>
      <c r="Y63" s="6" t="s">
        <v>233</v>
      </c>
      <c r="Z63" s="6"/>
      <c r="AA63" s="6" t="s">
        <v>477</v>
      </c>
      <c r="AB63" s="9" t="s">
        <v>235</v>
      </c>
      <c r="AC63" s="23" t="s">
        <v>478</v>
      </c>
      <c r="AN63" s="4"/>
    </row>
    <row r="64" spans="1:40" ht="15" customHeight="1">
      <c r="A64">
        <v>65</v>
      </c>
      <c r="B64" t="s">
        <v>161</v>
      </c>
      <c r="C64" t="s">
        <v>162</v>
      </c>
      <c r="D64">
        <v>1</v>
      </c>
      <c r="E64" t="s">
        <v>163</v>
      </c>
      <c r="F64" t="s">
        <v>11</v>
      </c>
      <c r="G64" t="s">
        <v>11</v>
      </c>
      <c r="H64">
        <f>2*Artnet_DMX_Converter5[[#This Row],[Quantity]]</f>
        <v>2</v>
      </c>
      <c r="I64" t="s">
        <v>11</v>
      </c>
      <c r="K64" t="s">
        <v>186</v>
      </c>
      <c r="N64" s="13" t="s">
        <v>634</v>
      </c>
      <c r="O64" s="14" t="s">
        <v>635</v>
      </c>
      <c r="P64" s="15">
        <v>2</v>
      </c>
      <c r="Q64" s="16">
        <v>4.9400000000000004</v>
      </c>
      <c r="R64" s="16">
        <v>9.8800000000000008</v>
      </c>
      <c r="S64" s="14" t="s">
        <v>633</v>
      </c>
      <c r="AC64" s="25" t="s">
        <v>644</v>
      </c>
      <c r="AN64" s="4"/>
    </row>
    <row r="65" spans="1:29" ht="15" customHeight="1">
      <c r="A65">
        <v>43</v>
      </c>
      <c r="B65" t="s">
        <v>114</v>
      </c>
      <c r="C65" t="s">
        <v>115</v>
      </c>
      <c r="D65">
        <v>1</v>
      </c>
      <c r="E65" t="s">
        <v>116</v>
      </c>
      <c r="F65" t="s">
        <v>11</v>
      </c>
      <c r="G65" t="s">
        <v>11</v>
      </c>
      <c r="H65">
        <f>2*Artnet_DMX_Converter5[[#This Row],[Quantity]]</f>
        <v>2</v>
      </c>
      <c r="I65" t="s">
        <v>11</v>
      </c>
      <c r="K65" t="s">
        <v>186</v>
      </c>
      <c r="N65" s="13" t="s">
        <v>637</v>
      </c>
      <c r="O65" s="14" t="s">
        <v>638</v>
      </c>
      <c r="P65" s="15">
        <v>2</v>
      </c>
      <c r="Q65" s="16">
        <v>0.89600000000000002</v>
      </c>
      <c r="R65" s="16">
        <v>1.79</v>
      </c>
      <c r="S65" s="14" t="s">
        <v>636</v>
      </c>
      <c r="AC65" s="25" t="s">
        <v>645</v>
      </c>
    </row>
    <row r="66" spans="1:29" ht="15" customHeight="1">
      <c r="A66">
        <v>31</v>
      </c>
      <c r="B66" t="s">
        <v>85</v>
      </c>
      <c r="C66" t="s">
        <v>86</v>
      </c>
      <c r="D66">
        <v>4</v>
      </c>
      <c r="E66" t="s">
        <v>87</v>
      </c>
      <c r="F66" t="s">
        <v>11</v>
      </c>
      <c r="G66" t="s">
        <v>11</v>
      </c>
      <c r="H66">
        <f>2*Artnet_DMX_Converter5[[#This Row],[Quantity]]</f>
        <v>8</v>
      </c>
      <c r="I66" t="s">
        <v>11</v>
      </c>
      <c r="J66" t="s">
        <v>186</v>
      </c>
      <c r="N66" s="6" t="s">
        <v>518</v>
      </c>
      <c r="O66" s="6" t="s">
        <v>519</v>
      </c>
      <c r="P66" s="7">
        <v>8</v>
      </c>
      <c r="Q66" s="12">
        <v>2.2972000000000001</v>
      </c>
      <c r="R66" s="12">
        <v>18.38</v>
      </c>
      <c r="S66" s="6" t="s">
        <v>520</v>
      </c>
      <c r="T66" s="6" t="s">
        <v>521</v>
      </c>
      <c r="U66" s="6">
        <v>1</v>
      </c>
      <c r="V66" s="6">
        <v>1</v>
      </c>
      <c r="W66" s="6">
        <v>2500</v>
      </c>
      <c r="X66" s="6">
        <v>12603</v>
      </c>
      <c r="Y66" s="6" t="s">
        <v>233</v>
      </c>
      <c r="Z66" s="6"/>
      <c r="AA66" s="6" t="s">
        <v>522</v>
      </c>
      <c r="AB66" s="9" t="s">
        <v>235</v>
      </c>
      <c r="AC66" s="23" t="s">
        <v>523</v>
      </c>
    </row>
    <row r="67" spans="1:29" ht="15" customHeight="1">
      <c r="A67">
        <v>25</v>
      </c>
      <c r="B67" t="s">
        <v>69</v>
      </c>
      <c r="C67" t="s">
        <v>70</v>
      </c>
      <c r="D67">
        <v>1</v>
      </c>
      <c r="E67" t="s">
        <v>71</v>
      </c>
      <c r="F67" t="s">
        <v>11</v>
      </c>
      <c r="G67" t="s">
        <v>11</v>
      </c>
      <c r="H67">
        <f>2*Artnet_DMX_Converter5[[#This Row],[Quantity]]</f>
        <v>2</v>
      </c>
      <c r="I67" t="s">
        <v>11</v>
      </c>
      <c r="J67" t="s">
        <v>186</v>
      </c>
      <c r="N67" s="6" t="s">
        <v>479</v>
      </c>
      <c r="O67" s="6" t="s">
        <v>480</v>
      </c>
      <c r="P67" s="7">
        <v>2</v>
      </c>
      <c r="Q67" s="12">
        <v>0.52080000000000004</v>
      </c>
      <c r="R67" s="12">
        <v>1.04</v>
      </c>
      <c r="S67" s="6" t="s">
        <v>481</v>
      </c>
      <c r="T67" s="6" t="s">
        <v>482</v>
      </c>
      <c r="U67" s="6">
        <v>1</v>
      </c>
      <c r="V67" s="6">
        <v>1</v>
      </c>
      <c r="W67" s="6">
        <v>3000</v>
      </c>
      <c r="X67" s="6">
        <v>660</v>
      </c>
      <c r="Y67" s="6" t="s">
        <v>233</v>
      </c>
      <c r="Z67" s="6"/>
      <c r="AA67" s="6" t="s">
        <v>483</v>
      </c>
      <c r="AB67" s="9" t="s">
        <v>235</v>
      </c>
      <c r="AC67" s="23" t="s">
        <v>484</v>
      </c>
    </row>
    <row r="68" spans="1:29" ht="15" customHeight="1">
      <c r="A68">
        <v>70</v>
      </c>
      <c r="B68" t="s">
        <v>172</v>
      </c>
      <c r="C68" t="s">
        <v>173</v>
      </c>
      <c r="D68">
        <v>1</v>
      </c>
      <c r="E68" t="s">
        <v>174</v>
      </c>
      <c r="F68" t="s">
        <v>11</v>
      </c>
      <c r="G68" t="s">
        <v>11</v>
      </c>
      <c r="H68">
        <f>2*Artnet_DMX_Converter5[[#This Row],[Quantity]]</f>
        <v>2</v>
      </c>
      <c r="I68" t="s">
        <v>11</v>
      </c>
      <c r="J68" t="s">
        <v>186</v>
      </c>
      <c r="N68" s="6" t="s">
        <v>485</v>
      </c>
      <c r="O68" s="6" t="s">
        <v>486</v>
      </c>
      <c r="P68" s="7">
        <v>5</v>
      </c>
      <c r="Q68" s="12">
        <v>2.3386999999999998</v>
      </c>
      <c r="R68" s="12">
        <v>11.69</v>
      </c>
      <c r="S68" s="6" t="s">
        <v>487</v>
      </c>
      <c r="T68" s="6" t="s">
        <v>488</v>
      </c>
      <c r="U68" s="6">
        <v>5</v>
      </c>
      <c r="V68" s="6">
        <v>5</v>
      </c>
      <c r="W68" s="6">
        <v>2000</v>
      </c>
      <c r="X68" s="6">
        <v>59900</v>
      </c>
      <c r="Y68" s="6" t="s">
        <v>233</v>
      </c>
      <c r="Z68" s="6"/>
      <c r="AA68" s="6" t="s">
        <v>489</v>
      </c>
      <c r="AB68" s="9" t="s">
        <v>235</v>
      </c>
      <c r="AC68" s="23" t="s">
        <v>490</v>
      </c>
    </row>
    <row r="69" spans="1:29" ht="15" customHeight="1">
      <c r="A69">
        <v>27</v>
      </c>
      <c r="B69" t="s">
        <v>74</v>
      </c>
      <c r="C69" t="s">
        <v>75</v>
      </c>
      <c r="D69">
        <v>1</v>
      </c>
      <c r="E69" t="s">
        <v>76</v>
      </c>
      <c r="F69" t="s">
        <v>11</v>
      </c>
      <c r="G69" t="s">
        <v>11</v>
      </c>
      <c r="H69">
        <f>2*Artnet_DMX_Converter5[[#This Row],[Quantity]]</f>
        <v>2</v>
      </c>
      <c r="I69" t="s">
        <v>11</v>
      </c>
      <c r="J69" t="s">
        <v>186</v>
      </c>
      <c r="N69" s="6" t="s">
        <v>76</v>
      </c>
      <c r="O69" s="6" t="s">
        <v>491</v>
      </c>
      <c r="P69" s="7">
        <v>5</v>
      </c>
      <c r="Q69" s="12">
        <v>0.13800000000000001</v>
      </c>
      <c r="R69" s="12">
        <v>0.69</v>
      </c>
      <c r="S69" s="6" t="s">
        <v>492</v>
      </c>
      <c r="T69" s="6" t="s">
        <v>493</v>
      </c>
      <c r="U69" s="6">
        <v>5</v>
      </c>
      <c r="V69" s="6">
        <v>5</v>
      </c>
      <c r="W69" s="6">
        <v>3000</v>
      </c>
      <c r="X69" s="6">
        <v>29740</v>
      </c>
      <c r="Y69" s="6" t="s">
        <v>233</v>
      </c>
      <c r="Z69" s="6"/>
      <c r="AA69" s="6" t="s">
        <v>494</v>
      </c>
      <c r="AB69" s="9" t="s">
        <v>235</v>
      </c>
      <c r="AC69" s="23" t="s">
        <v>495</v>
      </c>
    </row>
    <row r="70" spans="1:29" ht="15" customHeight="1">
      <c r="A70">
        <v>60</v>
      </c>
      <c r="B70" t="s">
        <v>152</v>
      </c>
      <c r="C70" t="s">
        <v>153</v>
      </c>
      <c r="D70">
        <v>1</v>
      </c>
      <c r="E70" t="s">
        <v>154</v>
      </c>
      <c r="F70" t="s">
        <v>11</v>
      </c>
      <c r="G70" t="s">
        <v>11</v>
      </c>
      <c r="H70">
        <f>2*Artnet_DMX_Converter5[[#This Row],[Quantity]]</f>
        <v>2</v>
      </c>
      <c r="I70" t="s">
        <v>11</v>
      </c>
      <c r="J70" t="s">
        <v>186</v>
      </c>
      <c r="N70" s="6" t="s">
        <v>154</v>
      </c>
      <c r="O70" s="6" t="s">
        <v>496</v>
      </c>
      <c r="P70" s="7">
        <v>2</v>
      </c>
      <c r="Q70" s="12">
        <v>2.7793000000000001</v>
      </c>
      <c r="R70" s="12">
        <v>5.56</v>
      </c>
      <c r="S70" s="6" t="s">
        <v>497</v>
      </c>
      <c r="T70" s="6" t="s">
        <v>498</v>
      </c>
      <c r="U70" s="6">
        <v>1</v>
      </c>
      <c r="V70" s="6">
        <v>1</v>
      </c>
      <c r="W70" s="6">
        <v>2500</v>
      </c>
      <c r="X70" s="6">
        <v>40852</v>
      </c>
      <c r="Y70" s="6" t="s">
        <v>233</v>
      </c>
      <c r="Z70" s="6"/>
      <c r="AA70" s="6" t="s">
        <v>499</v>
      </c>
      <c r="AB70" s="9" t="s">
        <v>235</v>
      </c>
      <c r="AC70" s="23" t="s">
        <v>500</v>
      </c>
    </row>
    <row r="71" spans="1:29" ht="15" customHeight="1">
      <c r="A71">
        <v>71</v>
      </c>
      <c r="B71" t="s">
        <v>175</v>
      </c>
      <c r="C71" t="s">
        <v>176</v>
      </c>
      <c r="D71">
        <v>1</v>
      </c>
      <c r="E71" t="s">
        <v>530</v>
      </c>
      <c r="F71" t="s">
        <v>11</v>
      </c>
      <c r="G71" t="s">
        <v>11</v>
      </c>
      <c r="H71">
        <f>2*Artnet_DMX_Converter5[[#This Row],[Quantity]]</f>
        <v>2</v>
      </c>
      <c r="I71" t="s">
        <v>11</v>
      </c>
      <c r="J71" t="s">
        <v>186</v>
      </c>
      <c r="N71" s="6" t="s">
        <v>530</v>
      </c>
      <c r="O71" s="6" t="s">
        <v>318</v>
      </c>
      <c r="P71" s="7">
        <v>5</v>
      </c>
      <c r="Q71" s="12">
        <v>0.378</v>
      </c>
      <c r="R71" s="12">
        <v>1.89</v>
      </c>
      <c r="S71" s="6" t="s">
        <v>531</v>
      </c>
      <c r="T71" s="6" t="s">
        <v>532</v>
      </c>
      <c r="U71" s="6">
        <v>5</v>
      </c>
      <c r="V71" s="6">
        <v>5</v>
      </c>
      <c r="W71" s="6">
        <v>1000</v>
      </c>
      <c r="X71" s="6">
        <v>4355</v>
      </c>
      <c r="Y71" s="6" t="s">
        <v>233</v>
      </c>
      <c r="Z71" s="6"/>
      <c r="AA71" s="6" t="s">
        <v>533</v>
      </c>
      <c r="AB71" s="9" t="s">
        <v>235</v>
      </c>
      <c r="AC71" s="23" t="s">
        <v>534</v>
      </c>
    </row>
    <row r="72" spans="1:29" ht="15" customHeight="1">
      <c r="A72">
        <v>74</v>
      </c>
      <c r="B72" t="s">
        <v>182</v>
      </c>
      <c r="C72" t="s">
        <v>183</v>
      </c>
      <c r="D72">
        <v>1</v>
      </c>
      <c r="E72" t="s">
        <v>184</v>
      </c>
      <c r="F72" t="s">
        <v>11</v>
      </c>
      <c r="G72" t="s">
        <v>11</v>
      </c>
      <c r="H72">
        <f>2*Artnet_DMX_Converter5[[#This Row],[Quantity]]</f>
        <v>2</v>
      </c>
      <c r="I72" t="s">
        <v>11</v>
      </c>
      <c r="J72" t="s">
        <v>186</v>
      </c>
      <c r="N72" s="6" t="s">
        <v>184</v>
      </c>
      <c r="O72" s="6" t="s">
        <v>501</v>
      </c>
      <c r="P72" s="7">
        <v>2</v>
      </c>
      <c r="Q72" s="12">
        <v>2.9626999999999999</v>
      </c>
      <c r="R72" s="12">
        <v>5.93</v>
      </c>
      <c r="S72" s="6" t="s">
        <v>502</v>
      </c>
      <c r="T72" s="6" t="s">
        <v>503</v>
      </c>
      <c r="U72" s="6">
        <v>1</v>
      </c>
      <c r="V72" s="6">
        <v>1</v>
      </c>
      <c r="W72" s="6">
        <v>2500</v>
      </c>
      <c r="X72" s="6">
        <v>91</v>
      </c>
      <c r="Y72" s="6" t="s">
        <v>233</v>
      </c>
      <c r="Z72" s="6"/>
      <c r="AA72" s="6" t="s">
        <v>504</v>
      </c>
      <c r="AB72" s="9" t="s">
        <v>235</v>
      </c>
      <c r="AC72" s="23" t="s">
        <v>505</v>
      </c>
    </row>
    <row r="73" spans="1:29" ht="15" customHeight="1">
      <c r="A73">
        <v>35</v>
      </c>
      <c r="B73" t="s">
        <v>95</v>
      </c>
      <c r="C73" t="s">
        <v>96</v>
      </c>
      <c r="D73">
        <v>1</v>
      </c>
      <c r="E73" t="s">
        <v>97</v>
      </c>
      <c r="F73" t="s">
        <v>11</v>
      </c>
      <c r="G73" t="s">
        <v>11</v>
      </c>
      <c r="H73">
        <f>2*Artnet_DMX_Converter5[[#This Row],[Quantity]]</f>
        <v>2</v>
      </c>
      <c r="I73" t="s">
        <v>11</v>
      </c>
      <c r="J73" t="s">
        <v>186</v>
      </c>
      <c r="N73" s="6" t="s">
        <v>506</v>
      </c>
      <c r="O73" s="6" t="s">
        <v>480</v>
      </c>
      <c r="P73" s="7">
        <v>5</v>
      </c>
      <c r="Q73" s="12">
        <v>0.23280000000000001</v>
      </c>
      <c r="R73" s="12">
        <v>1.1599999999999999</v>
      </c>
      <c r="S73" s="6" t="s">
        <v>507</v>
      </c>
      <c r="T73" s="6" t="s">
        <v>508</v>
      </c>
      <c r="U73" s="6">
        <v>5</v>
      </c>
      <c r="V73" s="6">
        <v>5</v>
      </c>
      <c r="W73" s="6">
        <v>3000</v>
      </c>
      <c r="X73" s="6">
        <v>11190</v>
      </c>
      <c r="Y73" s="6" t="s">
        <v>233</v>
      </c>
      <c r="Z73" s="6"/>
      <c r="AA73" s="6" t="s">
        <v>509</v>
      </c>
      <c r="AB73" s="9" t="s">
        <v>235</v>
      </c>
      <c r="AC73" s="23" t="s">
        <v>510</v>
      </c>
    </row>
    <row r="74" spans="1:29" ht="15" customHeight="1">
      <c r="A74">
        <v>40</v>
      </c>
      <c r="B74" t="s">
        <v>108</v>
      </c>
      <c r="C74" t="s">
        <v>65</v>
      </c>
      <c r="D74">
        <v>1</v>
      </c>
      <c r="E74" t="s">
        <v>109</v>
      </c>
      <c r="F74" t="s">
        <v>11</v>
      </c>
      <c r="G74" t="s">
        <v>11</v>
      </c>
      <c r="H74">
        <f>2*Artnet_DMX_Converter5[[#This Row],[Quantity]]</f>
        <v>2</v>
      </c>
      <c r="I74" t="s">
        <v>11</v>
      </c>
      <c r="J74" t="s">
        <v>186</v>
      </c>
      <c r="N74" s="6" t="s">
        <v>109</v>
      </c>
      <c r="O74" s="6" t="s">
        <v>360</v>
      </c>
      <c r="P74" s="7">
        <v>5</v>
      </c>
      <c r="Q74" s="12">
        <v>0.32719999999999999</v>
      </c>
      <c r="R74" s="12">
        <v>1.64</v>
      </c>
      <c r="S74" s="6" t="s">
        <v>511</v>
      </c>
      <c r="T74" s="6" t="s">
        <v>512</v>
      </c>
      <c r="U74" s="6">
        <v>5</v>
      </c>
      <c r="V74" s="6">
        <v>5</v>
      </c>
      <c r="W74" s="6">
        <v>3000</v>
      </c>
      <c r="X74" s="6">
        <v>0</v>
      </c>
      <c r="Y74" s="6" t="s">
        <v>432</v>
      </c>
      <c r="Z74" s="6"/>
      <c r="AA74" s="6" t="s">
        <v>513</v>
      </c>
      <c r="AB74" s="9" t="s">
        <v>235</v>
      </c>
      <c r="AC74" s="23" t="s">
        <v>514</v>
      </c>
    </row>
    <row r="75" spans="1:29" ht="15" customHeight="1">
      <c r="A75">
        <v>23</v>
      </c>
      <c r="B75" t="s">
        <v>64</v>
      </c>
      <c r="C75" t="s">
        <v>65</v>
      </c>
      <c r="D75">
        <v>1</v>
      </c>
      <c r="E75" t="s">
        <v>66</v>
      </c>
      <c r="F75" t="s">
        <v>11</v>
      </c>
      <c r="G75" t="s">
        <v>11</v>
      </c>
      <c r="H75">
        <f>2*Artnet_DMX_Converter5[[#This Row],[Quantity]]</f>
        <v>2</v>
      </c>
      <c r="I75" t="s">
        <v>11</v>
      </c>
      <c r="J75" t="s">
        <v>186</v>
      </c>
      <c r="N75" s="6" t="s">
        <v>66</v>
      </c>
      <c r="O75" s="6" t="s">
        <v>360</v>
      </c>
      <c r="P75" s="7">
        <v>2</v>
      </c>
      <c r="Q75" s="12">
        <v>0.84150000000000003</v>
      </c>
      <c r="R75" s="12">
        <v>1.68</v>
      </c>
      <c r="S75" s="6" t="s">
        <v>515</v>
      </c>
      <c r="T75" s="6" t="s">
        <v>512</v>
      </c>
      <c r="U75" s="6">
        <v>1</v>
      </c>
      <c r="V75" s="6">
        <v>1</v>
      </c>
      <c r="W75" s="6">
        <v>1000</v>
      </c>
      <c r="X75" s="6">
        <v>436</v>
      </c>
      <c r="Y75" s="6" t="s">
        <v>233</v>
      </c>
      <c r="Z75" s="6"/>
      <c r="AA75" s="6" t="s">
        <v>516</v>
      </c>
      <c r="AB75" s="9" t="s">
        <v>235</v>
      </c>
      <c r="AC75" s="23" t="s">
        <v>517</v>
      </c>
    </row>
    <row r="76" spans="1:29" ht="15" customHeight="1"/>
    <row r="77" spans="1:29" ht="15" customHeight="1"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/>
      <c r="AC77" s="24"/>
    </row>
    <row r="78" spans="1:29" ht="15" customHeight="1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185</v>
      </c>
      <c r="I78" t="s">
        <v>527</v>
      </c>
      <c r="J78" t="s">
        <v>225</v>
      </c>
      <c r="K78" t="s">
        <v>226</v>
      </c>
      <c r="L78" t="s">
        <v>623</v>
      </c>
      <c r="M78" s="4" t="s">
        <v>621</v>
      </c>
      <c r="N78" s="5" t="s">
        <v>600</v>
      </c>
      <c r="O78" s="5" t="s">
        <v>601</v>
      </c>
      <c r="P78" s="10" t="s">
        <v>602</v>
      </c>
      <c r="Q78" s="11" t="s">
        <v>603</v>
      </c>
      <c r="R78" s="11" t="s">
        <v>604</v>
      </c>
      <c r="S78" s="5" t="s">
        <v>653</v>
      </c>
      <c r="T78" s="5" t="s">
        <v>605</v>
      </c>
      <c r="U78" s="5" t="s">
        <v>606</v>
      </c>
      <c r="V78" s="5" t="s">
        <v>607</v>
      </c>
      <c r="W78" s="5" t="s">
        <v>608</v>
      </c>
      <c r="X78" s="5" t="s">
        <v>609</v>
      </c>
      <c r="Y78" s="5" t="s">
        <v>610</v>
      </c>
      <c r="Z78" s="5" t="s">
        <v>611</v>
      </c>
      <c r="AA78" s="5" t="s">
        <v>612</v>
      </c>
      <c r="AB78" s="5" t="s">
        <v>613</v>
      </c>
      <c r="AC78" s="5" t="s">
        <v>614</v>
      </c>
    </row>
    <row r="79" spans="1:29" ht="15" customHeight="1">
      <c r="A79">
        <v>5</v>
      </c>
      <c r="B79" t="s">
        <v>205</v>
      </c>
      <c r="C79" t="s">
        <v>21</v>
      </c>
      <c r="D79">
        <v>1</v>
      </c>
      <c r="E79" t="s">
        <v>17</v>
      </c>
      <c r="F79" t="s">
        <v>11</v>
      </c>
      <c r="G79" t="s">
        <v>11</v>
      </c>
      <c r="H79">
        <f>2*Display_panel7[[#This Row],[Quantity]]</f>
        <v>2</v>
      </c>
      <c r="L79" t="s">
        <v>186</v>
      </c>
      <c r="P79" s="18"/>
      <c r="AC79" s="26"/>
    </row>
    <row r="80" spans="1:29" ht="15" customHeight="1">
      <c r="A80">
        <v>8</v>
      </c>
      <c r="B80" t="s">
        <v>15</v>
      </c>
      <c r="C80" t="s">
        <v>21</v>
      </c>
      <c r="D80">
        <v>1</v>
      </c>
      <c r="E80" t="s">
        <v>22</v>
      </c>
      <c r="F80" t="s">
        <v>11</v>
      </c>
      <c r="G80" t="s">
        <v>11</v>
      </c>
      <c r="H80">
        <f>2*Display_panel7[[#This Row],[Quantity]]</f>
        <v>2</v>
      </c>
      <c r="L80" t="s">
        <v>186</v>
      </c>
      <c r="P80" s="18"/>
      <c r="AC80" s="26"/>
    </row>
    <row r="81" spans="1:29" ht="15" customHeight="1">
      <c r="A81">
        <v>4</v>
      </c>
      <c r="B81" t="s">
        <v>90</v>
      </c>
      <c r="C81" t="s">
        <v>203</v>
      </c>
      <c r="D81">
        <v>1</v>
      </c>
      <c r="E81" t="s">
        <v>204</v>
      </c>
      <c r="F81" t="s">
        <v>11</v>
      </c>
      <c r="G81" t="s">
        <v>11</v>
      </c>
      <c r="H81">
        <f>2*Display_panel7[[#This Row],[Quantity]]</f>
        <v>2</v>
      </c>
      <c r="J81" t="s">
        <v>186</v>
      </c>
      <c r="N81" s="6" t="s">
        <v>535</v>
      </c>
      <c r="O81" s="6" t="s">
        <v>536</v>
      </c>
      <c r="P81" s="7">
        <v>5</v>
      </c>
      <c r="Q81" s="12">
        <v>0.35630000000000001</v>
      </c>
      <c r="R81" s="12">
        <v>1.78</v>
      </c>
      <c r="S81" s="6" t="s">
        <v>537</v>
      </c>
      <c r="T81" s="6" t="s">
        <v>538</v>
      </c>
      <c r="U81" s="6">
        <v>5</v>
      </c>
      <c r="V81" s="6">
        <v>5</v>
      </c>
      <c r="W81" s="6">
        <v>3000</v>
      </c>
      <c r="X81" s="6">
        <v>19735</v>
      </c>
      <c r="Y81" s="6" t="s">
        <v>233</v>
      </c>
      <c r="Z81" s="6"/>
      <c r="AA81" s="6" t="s">
        <v>539</v>
      </c>
      <c r="AB81" s="9" t="s">
        <v>235</v>
      </c>
      <c r="AC81" s="23" t="s">
        <v>540</v>
      </c>
    </row>
    <row r="82" spans="1:29" ht="15" customHeight="1">
      <c r="A82">
        <v>9</v>
      </c>
      <c r="B82" t="s">
        <v>39</v>
      </c>
      <c r="C82" t="s">
        <v>106</v>
      </c>
      <c r="D82">
        <v>1</v>
      </c>
      <c r="E82" t="s">
        <v>107</v>
      </c>
      <c r="F82" t="s">
        <v>11</v>
      </c>
      <c r="G82" t="s">
        <v>11</v>
      </c>
      <c r="H82">
        <f>2*Display_panel7[[#This Row],[Quantity]]</f>
        <v>2</v>
      </c>
      <c r="L82" t="s">
        <v>186</v>
      </c>
      <c r="P82" s="18"/>
      <c r="AC82" s="26"/>
    </row>
    <row r="83" spans="1:29" ht="15" customHeight="1">
      <c r="A83">
        <v>3</v>
      </c>
      <c r="B83" t="s">
        <v>200</v>
      </c>
      <c r="C83" t="s">
        <v>201</v>
      </c>
      <c r="D83">
        <v>1</v>
      </c>
      <c r="E83" t="s">
        <v>202</v>
      </c>
      <c r="F83" t="s">
        <v>11</v>
      </c>
      <c r="G83" t="s">
        <v>11</v>
      </c>
      <c r="H83">
        <f>2*Display_panel7[[#This Row],[Quantity]]</f>
        <v>2</v>
      </c>
      <c r="J83" t="s">
        <v>186</v>
      </c>
      <c r="N83" s="6" t="s">
        <v>541</v>
      </c>
      <c r="O83" s="6" t="s">
        <v>542</v>
      </c>
      <c r="P83" s="7">
        <v>10</v>
      </c>
      <c r="Q83" s="12">
        <v>4.07E-2</v>
      </c>
      <c r="R83" s="12">
        <v>0.41</v>
      </c>
      <c r="S83" s="6" t="s">
        <v>543</v>
      </c>
      <c r="T83" s="6" t="s">
        <v>201</v>
      </c>
      <c r="U83" s="6">
        <v>10</v>
      </c>
      <c r="V83" s="6">
        <v>10</v>
      </c>
      <c r="W83" s="6">
        <v>3000</v>
      </c>
      <c r="X83" s="6">
        <v>267340</v>
      </c>
      <c r="Y83" s="6" t="s">
        <v>233</v>
      </c>
      <c r="Z83" s="6"/>
      <c r="AA83" s="6" t="s">
        <v>544</v>
      </c>
      <c r="AB83" s="9" t="s">
        <v>235</v>
      </c>
      <c r="AC83" s="23" t="s">
        <v>545</v>
      </c>
    </row>
    <row r="84" spans="1:29" ht="15" customHeight="1">
      <c r="A84">
        <v>7</v>
      </c>
      <c r="B84" t="s">
        <v>207</v>
      </c>
      <c r="C84" t="s">
        <v>13</v>
      </c>
      <c r="D84">
        <v>1</v>
      </c>
      <c r="E84" t="s">
        <v>14</v>
      </c>
      <c r="F84" t="s">
        <v>11</v>
      </c>
      <c r="G84" t="s">
        <v>11</v>
      </c>
      <c r="H84">
        <f>2*Display_panel7[[#This Row],[Quantity]]</f>
        <v>2</v>
      </c>
      <c r="L84" t="s">
        <v>186</v>
      </c>
      <c r="P84" s="18"/>
      <c r="AC84" s="26"/>
    </row>
    <row r="85" spans="1:29" ht="15" customHeight="1">
      <c r="A85">
        <v>2</v>
      </c>
      <c r="B85" t="s">
        <v>199</v>
      </c>
      <c r="C85" t="s">
        <v>13</v>
      </c>
      <c r="D85">
        <v>3</v>
      </c>
      <c r="E85" t="s">
        <v>94</v>
      </c>
      <c r="F85" t="s">
        <v>11</v>
      </c>
      <c r="G85" t="s">
        <v>11</v>
      </c>
      <c r="H85">
        <f>2*Display_panel7[[#This Row],[Quantity]]</f>
        <v>6</v>
      </c>
      <c r="L85" t="s">
        <v>186</v>
      </c>
      <c r="P85" s="18"/>
      <c r="AC85" s="26"/>
    </row>
    <row r="86" spans="1:29" ht="15" customHeight="1">
      <c r="A86">
        <v>1</v>
      </c>
      <c r="B86" t="s">
        <v>196</v>
      </c>
      <c r="C86" t="s">
        <v>197</v>
      </c>
      <c r="D86">
        <v>1</v>
      </c>
      <c r="E86" t="s">
        <v>198</v>
      </c>
      <c r="F86" t="s">
        <v>11</v>
      </c>
      <c r="G86" t="s">
        <v>11</v>
      </c>
      <c r="H86">
        <f>2*Display_panel7[[#This Row],[Quantity]]</f>
        <v>2</v>
      </c>
      <c r="J86" t="s">
        <v>186</v>
      </c>
      <c r="N86" s="6" t="s">
        <v>198</v>
      </c>
      <c r="O86" s="6" t="s">
        <v>546</v>
      </c>
      <c r="P86" s="7">
        <v>2</v>
      </c>
      <c r="Q86" s="12">
        <v>2.1164000000000001</v>
      </c>
      <c r="R86" s="12">
        <v>4.2300000000000004</v>
      </c>
      <c r="S86" s="6" t="s">
        <v>547</v>
      </c>
      <c r="T86" s="6" t="s">
        <v>548</v>
      </c>
      <c r="U86" s="6">
        <v>1</v>
      </c>
      <c r="V86" s="6">
        <v>1</v>
      </c>
      <c r="W86" s="6">
        <v>120</v>
      </c>
      <c r="X86" s="6">
        <v>2382</v>
      </c>
      <c r="Y86" s="6" t="s">
        <v>233</v>
      </c>
      <c r="Z86" s="6"/>
      <c r="AA86" s="6" t="s">
        <v>549</v>
      </c>
      <c r="AB86" s="9" t="s">
        <v>235</v>
      </c>
      <c r="AC86" s="23" t="s">
        <v>550</v>
      </c>
    </row>
    <row r="87" spans="1:29" ht="15" customHeight="1">
      <c r="A87">
        <v>6</v>
      </c>
      <c r="B87" t="s">
        <v>114</v>
      </c>
      <c r="C87" t="s">
        <v>201</v>
      </c>
      <c r="D87">
        <v>1</v>
      </c>
      <c r="E87" t="s">
        <v>206</v>
      </c>
      <c r="F87" t="s">
        <v>11</v>
      </c>
      <c r="G87" t="s">
        <v>11</v>
      </c>
      <c r="H87">
        <f>2*Display_panel7[[#This Row],[Quantity]]</f>
        <v>2</v>
      </c>
      <c r="J87" t="s">
        <v>186</v>
      </c>
      <c r="N87" s="6" t="s">
        <v>206</v>
      </c>
      <c r="O87" s="6" t="s">
        <v>551</v>
      </c>
      <c r="P87" s="7">
        <v>5</v>
      </c>
      <c r="Q87" s="12">
        <v>0.18090000000000001</v>
      </c>
      <c r="R87" s="12">
        <v>0.9</v>
      </c>
      <c r="S87" s="6" t="s">
        <v>552</v>
      </c>
      <c r="T87" s="6" t="s">
        <v>201</v>
      </c>
      <c r="U87" s="6">
        <v>5</v>
      </c>
      <c r="V87" s="6">
        <v>5</v>
      </c>
      <c r="W87" s="6">
        <v>3000</v>
      </c>
      <c r="X87" s="6">
        <v>4525</v>
      </c>
      <c r="Y87" s="6" t="s">
        <v>233</v>
      </c>
      <c r="Z87" s="6"/>
      <c r="AA87" s="6" t="s">
        <v>553</v>
      </c>
      <c r="AB87" s="9" t="s">
        <v>235</v>
      </c>
      <c r="AC87" s="23" t="s">
        <v>554</v>
      </c>
    </row>
    <row r="88" spans="1:29" ht="15" customHeight="1">
      <c r="P88" s="18"/>
    </row>
    <row r="89" spans="1:29" ht="15" customHeight="1">
      <c r="P89" s="18"/>
    </row>
    <row r="90" spans="1:29" ht="15" customHeight="1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185</v>
      </c>
      <c r="I90" t="s">
        <v>527</v>
      </c>
      <c r="J90" t="s">
        <v>225</v>
      </c>
      <c r="K90" t="s">
        <v>226</v>
      </c>
      <c r="L90" t="s">
        <v>623</v>
      </c>
      <c r="M90" s="4" t="s">
        <v>621</v>
      </c>
      <c r="N90" s="5" t="s">
        <v>600</v>
      </c>
      <c r="O90" s="5" t="s">
        <v>601</v>
      </c>
      <c r="P90" s="10" t="s">
        <v>602</v>
      </c>
      <c r="Q90" s="11" t="s">
        <v>603</v>
      </c>
      <c r="R90" s="11" t="s">
        <v>604</v>
      </c>
      <c r="S90" s="5" t="s">
        <v>653</v>
      </c>
      <c r="T90" s="5" t="s">
        <v>605</v>
      </c>
      <c r="U90" s="5" t="s">
        <v>606</v>
      </c>
      <c r="V90" s="5" t="s">
        <v>607</v>
      </c>
      <c r="W90" s="5" t="s">
        <v>608</v>
      </c>
      <c r="X90" s="5" t="s">
        <v>609</v>
      </c>
      <c r="Y90" s="5" t="s">
        <v>610</v>
      </c>
      <c r="Z90" s="5" t="s">
        <v>611</v>
      </c>
      <c r="AA90" s="5" t="s">
        <v>612</v>
      </c>
      <c r="AB90" s="5" t="s">
        <v>613</v>
      </c>
      <c r="AC90" s="5" t="s">
        <v>614</v>
      </c>
    </row>
    <row r="91" spans="1:29" ht="15" customHeight="1">
      <c r="A91">
        <v>6</v>
      </c>
      <c r="B91" t="s">
        <v>205</v>
      </c>
      <c r="C91" t="s">
        <v>21</v>
      </c>
      <c r="D91">
        <v>1</v>
      </c>
      <c r="E91" t="s">
        <v>140</v>
      </c>
      <c r="F91" t="s">
        <v>11</v>
      </c>
      <c r="G91" t="s">
        <v>11</v>
      </c>
      <c r="H91">
        <f>2*WIFI_Module9[[#This Row],[Quantity]]</f>
        <v>2</v>
      </c>
      <c r="J91" t="s">
        <v>186</v>
      </c>
      <c r="N91" s="6" t="s">
        <v>572</v>
      </c>
      <c r="O91" s="6" t="s">
        <v>238</v>
      </c>
      <c r="P91" s="7">
        <v>2</v>
      </c>
      <c r="Q91" s="12">
        <v>7.6600000000000001E-2</v>
      </c>
      <c r="R91" s="12">
        <v>0.15</v>
      </c>
      <c r="S91" s="6" t="s">
        <v>573</v>
      </c>
      <c r="T91" s="6">
        <v>603</v>
      </c>
      <c r="U91" s="6">
        <v>2</v>
      </c>
      <c r="V91" s="6">
        <v>2</v>
      </c>
      <c r="W91" s="6">
        <v>4000</v>
      </c>
      <c r="X91" s="6">
        <v>25412</v>
      </c>
      <c r="Y91" s="6" t="s">
        <v>233</v>
      </c>
      <c r="Z91" s="6"/>
      <c r="AA91" s="6" t="s">
        <v>574</v>
      </c>
      <c r="AB91" s="9" t="s">
        <v>235</v>
      </c>
      <c r="AC91" s="23" t="s">
        <v>575</v>
      </c>
    </row>
    <row r="92" spans="1:29" ht="15" customHeight="1">
      <c r="A92">
        <v>7</v>
      </c>
      <c r="B92" t="s">
        <v>216</v>
      </c>
      <c r="C92" t="s">
        <v>16</v>
      </c>
      <c r="D92">
        <v>2</v>
      </c>
      <c r="E92" t="s">
        <v>217</v>
      </c>
      <c r="F92" t="s">
        <v>11</v>
      </c>
      <c r="G92" t="s">
        <v>11</v>
      </c>
      <c r="H92">
        <f>2*WIFI_Module9[[#This Row],[Quantity]]</f>
        <v>4</v>
      </c>
      <c r="J92" t="s">
        <v>186</v>
      </c>
      <c r="N92" s="6" t="s">
        <v>567</v>
      </c>
      <c r="O92" s="6" t="s">
        <v>568</v>
      </c>
      <c r="P92" s="7">
        <v>100</v>
      </c>
      <c r="Q92" s="12">
        <v>1.6000000000000001E-3</v>
      </c>
      <c r="R92" s="12">
        <v>0.16</v>
      </c>
      <c r="S92" s="6" t="s">
        <v>569</v>
      </c>
      <c r="T92" s="6">
        <v>402</v>
      </c>
      <c r="U92" s="6">
        <v>100</v>
      </c>
      <c r="V92" s="6">
        <v>100</v>
      </c>
      <c r="W92" s="6">
        <v>10000</v>
      </c>
      <c r="X92" s="6">
        <v>41300</v>
      </c>
      <c r="Y92" s="6" t="s">
        <v>233</v>
      </c>
      <c r="Z92" s="6"/>
      <c r="AA92" s="6" t="s">
        <v>570</v>
      </c>
      <c r="AB92" s="9" t="s">
        <v>235</v>
      </c>
      <c r="AC92" s="23" t="s">
        <v>571</v>
      </c>
    </row>
    <row r="93" spans="1:29" ht="15" customHeight="1">
      <c r="A93">
        <v>1</v>
      </c>
      <c r="B93" t="s">
        <v>208</v>
      </c>
      <c r="C93" t="s">
        <v>16</v>
      </c>
      <c r="D93">
        <v>5</v>
      </c>
      <c r="E93" t="s">
        <v>22</v>
      </c>
      <c r="F93" t="s">
        <v>11</v>
      </c>
      <c r="G93" t="s">
        <v>11</v>
      </c>
      <c r="H93">
        <f>2*WIFI_Module9[[#This Row],[Quantity]]</f>
        <v>10</v>
      </c>
      <c r="L93" t="s">
        <v>186</v>
      </c>
      <c r="P93" s="18"/>
      <c r="AC93" s="26"/>
    </row>
    <row r="94" spans="1:29" ht="15" customHeight="1">
      <c r="A94">
        <v>5</v>
      </c>
      <c r="B94" t="s">
        <v>214</v>
      </c>
      <c r="C94" t="s">
        <v>16</v>
      </c>
      <c r="D94">
        <v>2</v>
      </c>
      <c r="E94" t="s">
        <v>215</v>
      </c>
      <c r="F94" t="s">
        <v>11</v>
      </c>
      <c r="G94" t="s">
        <v>11</v>
      </c>
      <c r="H94">
        <f>2*WIFI_Module9[[#This Row],[Quantity]]</f>
        <v>4</v>
      </c>
      <c r="J94" t="s">
        <v>186</v>
      </c>
      <c r="N94" s="6" t="s">
        <v>563</v>
      </c>
      <c r="O94" s="6" t="s">
        <v>394</v>
      </c>
      <c r="P94" s="7">
        <v>100</v>
      </c>
      <c r="Q94" s="12">
        <v>2.5999999999999999E-3</v>
      </c>
      <c r="R94" s="12">
        <v>0.26</v>
      </c>
      <c r="S94" s="6" t="s">
        <v>564</v>
      </c>
      <c r="T94" s="6">
        <v>402</v>
      </c>
      <c r="U94" s="6">
        <v>100</v>
      </c>
      <c r="V94" s="6">
        <v>100</v>
      </c>
      <c r="W94" s="6">
        <v>10000</v>
      </c>
      <c r="X94" s="6">
        <v>17400</v>
      </c>
      <c r="Y94" s="6" t="s">
        <v>233</v>
      </c>
      <c r="Z94" s="6"/>
      <c r="AA94" s="6" t="s">
        <v>565</v>
      </c>
      <c r="AB94" s="9" t="s">
        <v>235</v>
      </c>
      <c r="AC94" s="23" t="s">
        <v>566</v>
      </c>
    </row>
    <row r="95" spans="1:29" ht="15" customHeight="1">
      <c r="A95">
        <v>9</v>
      </c>
      <c r="B95" t="s">
        <v>90</v>
      </c>
      <c r="C95" t="s">
        <v>220</v>
      </c>
      <c r="D95">
        <v>1</v>
      </c>
      <c r="E95" t="s">
        <v>221</v>
      </c>
      <c r="F95" t="s">
        <v>11</v>
      </c>
      <c r="G95" t="s">
        <v>11</v>
      </c>
      <c r="H95">
        <f>2*WIFI_Module9[[#This Row],[Quantity]]</f>
        <v>2</v>
      </c>
      <c r="J95" t="s">
        <v>186</v>
      </c>
      <c r="N95" s="6" t="s">
        <v>576</v>
      </c>
      <c r="O95" s="6" t="s">
        <v>536</v>
      </c>
      <c r="P95" s="7">
        <v>2</v>
      </c>
      <c r="Q95" s="12">
        <v>0.62470000000000003</v>
      </c>
      <c r="R95" s="12">
        <v>1.25</v>
      </c>
      <c r="S95" s="6" t="s">
        <v>577</v>
      </c>
      <c r="T95" s="6" t="s">
        <v>187</v>
      </c>
      <c r="U95" s="6">
        <v>1</v>
      </c>
      <c r="V95" s="6">
        <v>1</v>
      </c>
      <c r="W95" s="6">
        <v>5000</v>
      </c>
      <c r="X95" s="6">
        <v>279</v>
      </c>
      <c r="Y95" s="6" t="s">
        <v>233</v>
      </c>
      <c r="Z95" s="6"/>
      <c r="AA95" s="6" t="s">
        <v>578</v>
      </c>
      <c r="AB95" s="9" t="s">
        <v>235</v>
      </c>
      <c r="AC95" s="23" t="s">
        <v>579</v>
      </c>
    </row>
    <row r="96" spans="1:29" ht="15" customHeight="1">
      <c r="A96">
        <v>11</v>
      </c>
      <c r="B96" t="s">
        <v>39</v>
      </c>
      <c r="C96" t="s">
        <v>224</v>
      </c>
      <c r="D96">
        <v>1</v>
      </c>
      <c r="E96" t="s">
        <v>135</v>
      </c>
      <c r="F96" t="s">
        <v>11</v>
      </c>
      <c r="G96" t="s">
        <v>11</v>
      </c>
      <c r="H96">
        <f>2*WIFI_Module9[[#This Row],[Quantity]]</f>
        <v>2</v>
      </c>
      <c r="J96" t="s">
        <v>186</v>
      </c>
      <c r="N96" s="6" t="s">
        <v>580</v>
      </c>
      <c r="O96" s="6" t="s">
        <v>350</v>
      </c>
      <c r="P96" s="7">
        <v>10</v>
      </c>
      <c r="Q96" s="12">
        <v>4.0399999999999998E-2</v>
      </c>
      <c r="R96" s="12">
        <v>0.4</v>
      </c>
      <c r="S96" s="6" t="s">
        <v>581</v>
      </c>
      <c r="T96" s="6" t="s">
        <v>346</v>
      </c>
      <c r="U96" s="6">
        <v>10</v>
      </c>
      <c r="V96" s="6">
        <v>10</v>
      </c>
      <c r="W96" s="6">
        <v>1000</v>
      </c>
      <c r="X96" s="6">
        <v>148950</v>
      </c>
      <c r="Y96" s="6" t="s">
        <v>233</v>
      </c>
      <c r="Z96" s="6"/>
      <c r="AA96" s="6" t="s">
        <v>582</v>
      </c>
      <c r="AB96" s="9" t="s">
        <v>235</v>
      </c>
      <c r="AC96" s="23" t="s">
        <v>583</v>
      </c>
    </row>
    <row r="97" spans="1:29" ht="15" customHeight="1">
      <c r="A97">
        <v>3</v>
      </c>
      <c r="B97" t="s">
        <v>58</v>
      </c>
      <c r="C97" t="s">
        <v>212</v>
      </c>
      <c r="D97">
        <v>1</v>
      </c>
      <c r="E97" t="s">
        <v>213</v>
      </c>
      <c r="F97" t="s">
        <v>11</v>
      </c>
      <c r="G97" t="s">
        <v>11</v>
      </c>
      <c r="H97">
        <f>2*WIFI_Module9[[#This Row],[Quantity]]</f>
        <v>2</v>
      </c>
      <c r="J97" t="s">
        <v>186</v>
      </c>
      <c r="N97" s="6" t="s">
        <v>555</v>
      </c>
      <c r="O97" s="6" t="s">
        <v>295</v>
      </c>
      <c r="P97" s="7">
        <v>10</v>
      </c>
      <c r="Q97" s="12">
        <v>8.6E-3</v>
      </c>
      <c r="R97" s="12">
        <v>0.09</v>
      </c>
      <c r="S97" s="6" t="s">
        <v>556</v>
      </c>
      <c r="T97" s="6">
        <v>402</v>
      </c>
      <c r="U97" s="6">
        <v>10</v>
      </c>
      <c r="V97" s="6">
        <v>10</v>
      </c>
      <c r="W97" s="6">
        <v>10000</v>
      </c>
      <c r="X97" s="6">
        <v>67470</v>
      </c>
      <c r="Y97" s="6" t="s">
        <v>233</v>
      </c>
      <c r="Z97" s="6"/>
      <c r="AA97" s="6" t="s">
        <v>557</v>
      </c>
      <c r="AB97" s="9" t="s">
        <v>235</v>
      </c>
      <c r="AC97" s="23" t="s">
        <v>558</v>
      </c>
    </row>
    <row r="98" spans="1:29" ht="15" customHeight="1">
      <c r="A98">
        <v>4</v>
      </c>
      <c r="B98" t="s">
        <v>207</v>
      </c>
      <c r="C98" t="s">
        <v>25</v>
      </c>
      <c r="D98">
        <v>1</v>
      </c>
      <c r="E98" t="s">
        <v>94</v>
      </c>
      <c r="F98" t="s">
        <v>11</v>
      </c>
      <c r="G98" t="s">
        <v>11</v>
      </c>
      <c r="H98">
        <f>2*WIFI_Module9[[#This Row],[Quantity]]</f>
        <v>2</v>
      </c>
      <c r="J98" t="s">
        <v>186</v>
      </c>
      <c r="N98" s="6" t="s">
        <v>559</v>
      </c>
      <c r="O98" s="6" t="s">
        <v>394</v>
      </c>
      <c r="P98" s="7">
        <v>100</v>
      </c>
      <c r="Q98" s="12">
        <v>8.0000000000000004E-4</v>
      </c>
      <c r="R98" s="12">
        <v>0.08</v>
      </c>
      <c r="S98" s="6" t="s">
        <v>560</v>
      </c>
      <c r="T98" s="6">
        <v>402</v>
      </c>
      <c r="U98" s="6">
        <v>100</v>
      </c>
      <c r="V98" s="6">
        <v>100</v>
      </c>
      <c r="W98" s="6">
        <v>10000</v>
      </c>
      <c r="X98" s="6">
        <v>5173500</v>
      </c>
      <c r="Y98" s="6" t="s">
        <v>233</v>
      </c>
      <c r="Z98" s="6"/>
      <c r="AA98" s="6" t="s">
        <v>561</v>
      </c>
      <c r="AB98" s="9" t="s">
        <v>235</v>
      </c>
      <c r="AC98" s="23" t="s">
        <v>562</v>
      </c>
    </row>
    <row r="99" spans="1:29" ht="15" customHeight="1">
      <c r="A99">
        <v>2</v>
      </c>
      <c r="B99" t="s">
        <v>209</v>
      </c>
      <c r="C99" t="s">
        <v>210</v>
      </c>
      <c r="D99">
        <v>2</v>
      </c>
      <c r="E99" t="s">
        <v>211</v>
      </c>
      <c r="F99" t="s">
        <v>11</v>
      </c>
      <c r="G99" t="s">
        <v>11</v>
      </c>
      <c r="H99">
        <f>2*WIFI_Module9[[#This Row],[Quantity]]</f>
        <v>4</v>
      </c>
      <c r="P99" s="18"/>
      <c r="AC99" s="26"/>
    </row>
    <row r="100" spans="1:29" ht="15" customHeight="1">
      <c r="A100">
        <v>8</v>
      </c>
      <c r="B100" t="s">
        <v>114</v>
      </c>
      <c r="C100" t="s">
        <v>218</v>
      </c>
      <c r="D100">
        <v>1</v>
      </c>
      <c r="E100" t="s">
        <v>219</v>
      </c>
      <c r="F100" t="s">
        <v>11</v>
      </c>
      <c r="G100" t="s">
        <v>11</v>
      </c>
      <c r="H100">
        <f>2*WIFI_Module9[[#This Row],[Quantity]]</f>
        <v>2</v>
      </c>
      <c r="J100" t="s">
        <v>186</v>
      </c>
      <c r="N100" s="6" t="s">
        <v>584</v>
      </c>
      <c r="O100" s="6" t="s">
        <v>585</v>
      </c>
      <c r="P100" s="7">
        <v>2</v>
      </c>
      <c r="Q100" s="12">
        <v>1.5423</v>
      </c>
      <c r="R100" s="12">
        <v>3.08</v>
      </c>
      <c r="S100" s="6" t="s">
        <v>586</v>
      </c>
      <c r="T100" s="6" t="s">
        <v>587</v>
      </c>
      <c r="U100" s="6">
        <v>1</v>
      </c>
      <c r="V100" s="6">
        <v>1</v>
      </c>
      <c r="W100" s="6">
        <v>5000</v>
      </c>
      <c r="X100" s="6">
        <v>4843</v>
      </c>
      <c r="Y100" s="6" t="s">
        <v>233</v>
      </c>
      <c r="Z100" s="6"/>
      <c r="AA100" s="6" t="s">
        <v>588</v>
      </c>
      <c r="AB100" s="9" t="s">
        <v>235</v>
      </c>
      <c r="AC100" s="23" t="s">
        <v>589</v>
      </c>
    </row>
    <row r="101" spans="1:29" ht="15" customHeight="1">
      <c r="A101">
        <v>10</v>
      </c>
      <c r="B101" t="s">
        <v>108</v>
      </c>
      <c r="C101" t="s">
        <v>222</v>
      </c>
      <c r="D101">
        <v>1</v>
      </c>
      <c r="E101" t="s">
        <v>223</v>
      </c>
      <c r="F101" t="s">
        <v>11</v>
      </c>
      <c r="G101" t="s">
        <v>11</v>
      </c>
      <c r="H101">
        <f>2*WIFI_Module9[[#This Row],[Quantity]]</f>
        <v>2</v>
      </c>
      <c r="N101" s="6" t="s">
        <v>223</v>
      </c>
      <c r="O101" s="6" t="s">
        <v>590</v>
      </c>
      <c r="P101" s="7">
        <v>5</v>
      </c>
      <c r="Q101" s="12">
        <v>0.3261</v>
      </c>
      <c r="R101" s="12">
        <v>1.63</v>
      </c>
      <c r="S101" s="6" t="s">
        <v>591</v>
      </c>
      <c r="T101" s="6" t="s">
        <v>592</v>
      </c>
      <c r="U101" s="6">
        <v>5</v>
      </c>
      <c r="V101" s="6">
        <v>5</v>
      </c>
      <c r="W101" s="6">
        <v>3000</v>
      </c>
      <c r="X101" s="6">
        <v>1585</v>
      </c>
      <c r="Y101" s="6" t="s">
        <v>233</v>
      </c>
      <c r="Z101" s="6"/>
      <c r="AA101" s="6" t="s">
        <v>593</v>
      </c>
      <c r="AB101" s="9" t="s">
        <v>235</v>
      </c>
      <c r="AC101" s="23" t="s">
        <v>594</v>
      </c>
    </row>
    <row r="102" spans="1:29" ht="15" customHeight="1">
      <c r="P102" s="18"/>
      <c r="AC102" s="26"/>
    </row>
    <row r="103" spans="1:29" ht="15" customHeight="1">
      <c r="P103" s="18"/>
      <c r="AC103" s="26"/>
    </row>
    <row r="104" spans="1:29" ht="15" customHeight="1">
      <c r="O104" s="20"/>
      <c r="P104" s="18"/>
      <c r="AC104" s="26"/>
    </row>
    <row r="105" spans="1:29" ht="15" customHeight="1">
      <c r="P105" s="18"/>
      <c r="AC105" s="26"/>
    </row>
    <row r="106" spans="1:29" ht="15" customHeight="1">
      <c r="A106" t="s">
        <v>186</v>
      </c>
      <c r="B106" t="s">
        <v>186</v>
      </c>
      <c r="C106" t="s">
        <v>186</v>
      </c>
      <c r="D106">
        <v>1</v>
      </c>
      <c r="E106" t="s">
        <v>227</v>
      </c>
      <c r="H106">
        <f>2*D106</f>
        <v>2</v>
      </c>
      <c r="J106" t="s">
        <v>186</v>
      </c>
      <c r="N106" s="6" t="s">
        <v>524</v>
      </c>
      <c r="O106" s="6" t="s">
        <v>525</v>
      </c>
      <c r="P106" s="7">
        <v>2</v>
      </c>
      <c r="Q106" s="12">
        <v>0.30209999999999998</v>
      </c>
      <c r="R106" s="12">
        <v>0.6</v>
      </c>
      <c r="S106" s="6" t="s">
        <v>526</v>
      </c>
      <c r="T106" s="6" t="s">
        <v>527</v>
      </c>
      <c r="U106" s="6">
        <v>1</v>
      </c>
      <c r="V106" s="6">
        <v>1</v>
      </c>
      <c r="W106" s="6">
        <v>250</v>
      </c>
      <c r="X106" s="6">
        <v>119</v>
      </c>
      <c r="Y106" s="6" t="s">
        <v>233</v>
      </c>
      <c r="Z106" s="6"/>
      <c r="AA106" s="6" t="s">
        <v>528</v>
      </c>
      <c r="AB106" s="9" t="s">
        <v>235</v>
      </c>
      <c r="AC106" s="25" t="s">
        <v>529</v>
      </c>
    </row>
    <row r="107" spans="1:29" ht="15" customHeight="1">
      <c r="A107" t="s">
        <v>186</v>
      </c>
      <c r="B107" t="s">
        <v>186</v>
      </c>
      <c r="C107" t="s">
        <v>186</v>
      </c>
      <c r="D107">
        <v>1</v>
      </c>
      <c r="E107" t="s">
        <v>228</v>
      </c>
      <c r="H107">
        <v>2</v>
      </c>
      <c r="J107" t="s">
        <v>186</v>
      </c>
      <c r="N107" s="6" t="s">
        <v>595</v>
      </c>
      <c r="O107" s="6" t="s">
        <v>596</v>
      </c>
      <c r="P107" s="7">
        <v>2</v>
      </c>
      <c r="Q107" s="12">
        <v>3.4649000000000001</v>
      </c>
      <c r="R107" s="12">
        <v>6.93</v>
      </c>
      <c r="S107" s="6" t="s">
        <v>597</v>
      </c>
      <c r="T107" s="6" t="s">
        <v>527</v>
      </c>
      <c r="U107" s="6">
        <v>1</v>
      </c>
      <c r="V107" s="6">
        <v>1</v>
      </c>
      <c r="W107" s="6">
        <v>1</v>
      </c>
      <c r="X107" s="6">
        <v>242</v>
      </c>
      <c r="Y107" s="6" t="s">
        <v>233</v>
      </c>
      <c r="Z107" s="6"/>
      <c r="AA107" s="6" t="s">
        <v>598</v>
      </c>
      <c r="AB107" s="9" t="s">
        <v>235</v>
      </c>
      <c r="AC107" s="25" t="s">
        <v>599</v>
      </c>
    </row>
    <row r="108" spans="1:29" ht="15" customHeight="1">
      <c r="E108" t="s">
        <v>650</v>
      </c>
      <c r="H108">
        <v>2</v>
      </c>
      <c r="N108" t="s">
        <v>652</v>
      </c>
      <c r="O108" s="14" t="s">
        <v>651</v>
      </c>
      <c r="P108" s="15">
        <v>2</v>
      </c>
      <c r="Q108" s="19">
        <f>R108/P108</f>
        <v>8.6850000000000005</v>
      </c>
      <c r="R108" s="19">
        <v>17.37</v>
      </c>
      <c r="AA108" t="s">
        <v>652</v>
      </c>
      <c r="AC108" s="26" t="s">
        <v>654</v>
      </c>
    </row>
    <row r="109" spans="1:29" ht="15" customHeight="1"/>
    <row r="110" spans="1:29" ht="15" customHeight="1"/>
    <row r="111" spans="1:29" ht="15" customHeight="1">
      <c r="N111" s="14" t="s">
        <v>660</v>
      </c>
      <c r="R111" s="19">
        <v>14.11</v>
      </c>
    </row>
    <row r="112" spans="1:29" ht="15" customHeight="1">
      <c r="N112" s="14" t="s">
        <v>661</v>
      </c>
      <c r="R112" s="19">
        <v>5.05</v>
      </c>
    </row>
    <row r="113" spans="14:19" ht="15" customHeight="1">
      <c r="N113" s="14" t="s">
        <v>662</v>
      </c>
      <c r="R113" s="19">
        <v>7.05</v>
      </c>
      <c r="S113" s="28"/>
    </row>
    <row r="114" spans="14:19" ht="15" customHeight="1"/>
    <row r="115" spans="14:19" ht="15" customHeight="1"/>
    <row r="116" spans="14:19" ht="15" customHeight="1">
      <c r="N116" s="14" t="s">
        <v>655</v>
      </c>
      <c r="R116" s="27">
        <v>14.87</v>
      </c>
    </row>
    <row r="117" spans="14:19">
      <c r="N117" s="14" t="s">
        <v>656</v>
      </c>
      <c r="R117" s="27">
        <v>14.89</v>
      </c>
    </row>
    <row r="118" spans="14:19">
      <c r="N118" s="14" t="s">
        <v>657</v>
      </c>
      <c r="R118" s="19">
        <v>6.9</v>
      </c>
    </row>
    <row r="119" spans="14:19">
      <c r="N119" s="14" t="s">
        <v>658</v>
      </c>
      <c r="R119" s="19">
        <v>0</v>
      </c>
    </row>
    <row r="122" spans="14:19">
      <c r="N122" s="14" t="s">
        <v>659</v>
      </c>
      <c r="R122" s="19">
        <f>SUM(Artnet_DMX_Converter5[Ext.Price(USD)],Display_panel7[Ext.Price(USD)],WIFI_Module9[Ext.Price(USD)],R104:R119)</f>
        <v>269.39000000000004</v>
      </c>
    </row>
  </sheetData>
  <phoneticPr fontId="2" type="noConversion"/>
  <conditionalFormatting sqref="M2:M108">
    <cfRule type="expression" dxfId="2" priority="1">
      <formula>P2&gt;H2</formula>
    </cfRule>
    <cfRule type="expression" dxfId="1" priority="2">
      <formula>P2=H2</formula>
    </cfRule>
    <cfRule type="expression" dxfId="0" priority="3">
      <formula>P2&lt;H2</formula>
    </cfRule>
  </conditionalFormatting>
  <hyperlinks>
    <hyperlink ref="AC2" r:id="rId1" display="url" xr:uid="{3F989EE0-9E86-4E0E-BB27-0439A44B4F77}"/>
    <hyperlink ref="AC3" r:id="rId2" display="url" xr:uid="{FDD5E74B-40AF-485C-9F28-557DD1090E63}"/>
    <hyperlink ref="AC4" r:id="rId3" display="url" xr:uid="{92AC5CD9-9FD9-416B-8D72-892B09B62948}"/>
    <hyperlink ref="AC5" r:id="rId4" display="url" xr:uid="{A1C5526D-E14E-42AD-97C4-AD8E5505952D}"/>
    <hyperlink ref="AC10" r:id="rId5" display="url" xr:uid="{9D3D475B-7DF3-462E-9345-F82F7263C4AA}"/>
    <hyperlink ref="AC11" r:id="rId6" display="url" xr:uid="{C99D3FA6-121F-4FAE-ABEB-ED59109649F8}"/>
    <hyperlink ref="AC14" r:id="rId7" display="url" xr:uid="{F85CD935-2E35-4338-92D1-B5C0DA3C04A1}"/>
    <hyperlink ref="AC16" r:id="rId8" display="url" xr:uid="{4EF4A36F-3D89-4B16-BD29-78E64718D45C}"/>
    <hyperlink ref="AC17" r:id="rId9" display="url" xr:uid="{CE9103A1-BCBD-4A90-A2A4-6B648061B237}"/>
    <hyperlink ref="AC18" r:id="rId10" display="url" xr:uid="{EEE2E008-860A-416F-87F5-105D8843C509}"/>
    <hyperlink ref="AC19" r:id="rId11" display="url" xr:uid="{EC9BF0E1-20DC-43C0-8CCA-AB3C62B9B8C5}"/>
    <hyperlink ref="AC20" r:id="rId12" display="url" xr:uid="{DB4D4A57-F158-41E3-AB46-D1F433A44EC1}"/>
    <hyperlink ref="AC21" r:id="rId13" display="url" xr:uid="{CF0F26BD-E673-4762-9F68-D56D527A4804}"/>
    <hyperlink ref="AC22" r:id="rId14" display="url" xr:uid="{A2D3CF1F-25D7-40C6-9EE6-35BC185B185E}"/>
    <hyperlink ref="AC8" r:id="rId15" display="url" xr:uid="{60453386-14A0-4851-943E-7D943DCA9B39}"/>
    <hyperlink ref="AC12" r:id="rId16" display="url" xr:uid="{15D96136-AA01-4E74-90FD-BF0EB7D95220}"/>
    <hyperlink ref="AC7" r:id="rId17" display="url" xr:uid="{24912D8B-0F6F-4E5E-89FD-DEF8BD618AB8}"/>
    <hyperlink ref="AC6" r:id="rId18" display="url" xr:uid="{68E8F8F4-15EF-4881-9867-21F57CD6EAF2}"/>
    <hyperlink ref="AC23" r:id="rId19" display="url" xr:uid="{8DEBE83E-3304-4AAD-9F83-A3D13F804EC0}"/>
    <hyperlink ref="AC24" r:id="rId20" display="url" xr:uid="{64CE682A-9A03-4BE6-AEDD-D05DAC92F361}"/>
    <hyperlink ref="AC25" r:id="rId21" display="url" xr:uid="{DB3B6ED7-C55A-4322-9A0C-9F63715894F0}"/>
    <hyperlink ref="AC26" r:id="rId22" display="url" xr:uid="{F3735F6C-2C72-4951-A600-42B118B52EF2}"/>
    <hyperlink ref="AC27" r:id="rId23" display="url" xr:uid="{76580100-1205-4F4C-B043-6A5FC9088CCD}"/>
    <hyperlink ref="AC28" r:id="rId24" display="url" xr:uid="{F115CC11-530A-4ABF-9736-85188FBE4B5C}"/>
    <hyperlink ref="AC30" r:id="rId25" display="url" xr:uid="{436C2626-1A7F-4B9A-A5BE-CA187E6B8B73}"/>
    <hyperlink ref="AC31" r:id="rId26" display="url" xr:uid="{A0E2D5A9-C65A-417C-848E-E631975219C3}"/>
    <hyperlink ref="AC32" r:id="rId27" display="url" xr:uid="{DA8785B4-1037-4E8E-9BB0-5B4E921C5712}"/>
    <hyperlink ref="AC33" r:id="rId28" display="url" xr:uid="{3BE1D2E8-D590-4B00-99B9-0CFCE5C262F7}"/>
    <hyperlink ref="AC37" r:id="rId29" display="url" xr:uid="{29CC3120-496F-4D8B-AE41-BDB66A34F533}"/>
    <hyperlink ref="AC38" r:id="rId30" display="url" xr:uid="{6A571336-A958-4297-84A1-A6CFB2296E0B}"/>
    <hyperlink ref="AC39" r:id="rId31" display="url" xr:uid="{A529859A-3949-43F7-864C-798039D311B2}"/>
    <hyperlink ref="AC40" r:id="rId32" display="url" xr:uid="{07F5FB47-3397-4932-8969-F4B980AAA5AD}"/>
    <hyperlink ref="AC41" r:id="rId33" display="url" xr:uid="{42206866-C6D6-4556-8B80-99984B0CB3A2}"/>
    <hyperlink ref="AC13" r:id="rId34" display="url" xr:uid="{E4E4611B-CEEA-4826-BDA2-B6C365DAB289}"/>
    <hyperlink ref="AC15" r:id="rId35" display="url" xr:uid="{93DA7B9B-7373-4574-9892-B0834E7992E7}"/>
    <hyperlink ref="AC42" r:id="rId36" display="url" xr:uid="{A680C95C-1ED1-4069-AC63-7C2319193998}"/>
    <hyperlink ref="AC43" r:id="rId37" display="url" xr:uid="{DC8CAC35-BCED-4DD2-9D8E-4A38EDBD8170}"/>
    <hyperlink ref="AC44" r:id="rId38" display="url" xr:uid="{FEFF6C86-834E-4117-8246-AA55A9345C8B}"/>
    <hyperlink ref="AC45" r:id="rId39" display="url" xr:uid="{755F0629-73DB-412A-8AB8-C25021A9378F}"/>
    <hyperlink ref="AC47" r:id="rId40" display="url" xr:uid="{C9112BE4-D705-4E29-A3B9-BE73DF1B6CD0}"/>
    <hyperlink ref="AC49" r:id="rId41" display="url" xr:uid="{E17758E9-1FD7-4809-93A4-A2F621C1D9AF}"/>
    <hyperlink ref="AC50" r:id="rId42" display="url" xr:uid="{06B50A28-BF04-43E6-8B64-23679F5E1EF6}"/>
    <hyperlink ref="AC51" r:id="rId43" display="url" xr:uid="{B41A296F-F8B4-4051-877D-9C3E2550D392}"/>
    <hyperlink ref="AC52" r:id="rId44" display="url" xr:uid="{0F2850D6-9A75-4BA7-AD12-4AC04716A514}"/>
    <hyperlink ref="AC53" r:id="rId45" display="url" xr:uid="{7BC340E0-10A6-4906-AFCE-388615E03A75}"/>
    <hyperlink ref="AC54" r:id="rId46" display="url" xr:uid="{6A07EA77-4DA9-44B5-853A-92AD43F3CDB6}"/>
    <hyperlink ref="AC55" r:id="rId47" display="url" xr:uid="{19E5A8AE-04F9-49BC-A5A0-47A310176CE1}"/>
    <hyperlink ref="AC56" r:id="rId48" display="url" xr:uid="{0F27783D-D154-40CF-BE4D-C5BCD6B8BC28}"/>
    <hyperlink ref="AC57" r:id="rId49" display="url" xr:uid="{1F9E32C8-2149-46C5-814D-8DF736397702}"/>
    <hyperlink ref="AC48" r:id="rId50" display="url" xr:uid="{C628D179-E49B-4462-BD03-C7FD42886955}"/>
    <hyperlink ref="AC58" r:id="rId51" display="url" xr:uid="{080D96DA-7EF1-432A-928D-F97412E90E60}"/>
    <hyperlink ref="AC59" r:id="rId52" display="url" xr:uid="{DEFCD3C6-10E4-4BA3-8555-371B53FE39F3}"/>
    <hyperlink ref="AC61" r:id="rId53" display="url" xr:uid="{0B29DA51-7517-4D06-9B33-A5493819457C}"/>
    <hyperlink ref="AC62" r:id="rId54" display="url" xr:uid="{A20D40DD-6911-4357-8384-8E595DB20FC6}"/>
    <hyperlink ref="AC63" r:id="rId55" display="url" xr:uid="{3DE102C0-43B4-472F-AAF2-40B59FCE728B}"/>
    <hyperlink ref="AC67" r:id="rId56" display="url" xr:uid="{AD5ED9F4-FD6B-496D-A478-D7CB1B4641CF}"/>
    <hyperlink ref="AC68" r:id="rId57" display="url" xr:uid="{64655F9D-4116-452D-9128-FC351271B058}"/>
    <hyperlink ref="AC69" r:id="rId58" display="url" xr:uid="{CA5F5ABB-EB08-412E-9CFA-7036FC44ECE6}"/>
    <hyperlink ref="AC70" r:id="rId59" display="url" xr:uid="{D9FE4859-C98C-4910-8174-9086DC2D7345}"/>
    <hyperlink ref="AC72" r:id="rId60" display="url" xr:uid="{E37F5E03-D079-47AB-8CE8-477E608131C9}"/>
    <hyperlink ref="AC73" r:id="rId61" display="url" xr:uid="{19C8E777-0E5A-4B38-AAF7-A2251E815A24}"/>
    <hyperlink ref="AC74" r:id="rId62" display="url" xr:uid="{8C80016D-7ED0-49BE-8011-7069678DA3D2}"/>
    <hyperlink ref="AC75" r:id="rId63" display="url" xr:uid="{CA960F8F-D06C-452B-BBBB-24EF4F388DF2}"/>
    <hyperlink ref="AC66" r:id="rId64" display="url" xr:uid="{E99E5581-D349-4BC6-B826-5F8AE18A6C03}"/>
    <hyperlink ref="AC106" r:id="rId65" display="url" xr:uid="{779A6F26-CD8C-4AEA-923C-ECFB59C40DFC}"/>
    <hyperlink ref="AC71" r:id="rId66" display="url" xr:uid="{2F650F86-867C-4E07-A0BA-5E656FB435B2}"/>
    <hyperlink ref="AC81" r:id="rId67" display="url" xr:uid="{96478C66-4007-410E-9D4E-DB9AA2D99E91}"/>
    <hyperlink ref="AC83" r:id="rId68" display="url" xr:uid="{F2C3A34F-024C-4D98-ACCC-4A0FC7921721}"/>
    <hyperlink ref="AC86" r:id="rId69" display="url" xr:uid="{D79C73CD-05B9-4805-96AA-C3A3EEF10908}"/>
    <hyperlink ref="AC87" r:id="rId70" display="url" xr:uid="{A803DA38-47B4-4ABD-A353-79AED6B5F69B}"/>
    <hyperlink ref="AC97" r:id="rId71" display="url" xr:uid="{56CE5916-A95D-4314-B7DF-5A0A49BC6053}"/>
    <hyperlink ref="AC98" r:id="rId72" display="url" xr:uid="{3DF7ED25-E099-4C98-957B-4AF70D523078}"/>
    <hyperlink ref="AC94" r:id="rId73" display="url" xr:uid="{AF50B25B-847E-438F-A504-AA6A7A25DB27}"/>
    <hyperlink ref="AC92" r:id="rId74" display="url" xr:uid="{25FDD885-1646-47AC-9E25-CB7D1D93C543}"/>
    <hyperlink ref="AC91" r:id="rId75" display="url" xr:uid="{2C2C212A-8C7A-448A-ADA2-899BF9FBEB3C}"/>
    <hyperlink ref="AC95" r:id="rId76" display="url" xr:uid="{CF0B76DA-7C76-4139-B23E-9669FC174F06}"/>
    <hyperlink ref="AC96" r:id="rId77" display="url" xr:uid="{30158891-4A72-4E2D-929A-42AE9363AADA}"/>
    <hyperlink ref="AC100" r:id="rId78" display="url" xr:uid="{28394CE7-F6BD-4A58-A99F-5DA99C9DE1E6}"/>
    <hyperlink ref="AC101" r:id="rId79" display="url" xr:uid="{957B0337-377C-4D79-B64D-9C2888AD9CF6}"/>
    <hyperlink ref="AC107" r:id="rId80" display="url" xr:uid="{6274D4D1-D3BE-49CC-AB4F-6F6639344258}"/>
    <hyperlink ref="AC9" r:id="rId81" display="url" xr:uid="{4D5CD02D-D398-4479-9FC1-E27E9E2BF915}"/>
    <hyperlink ref="AC29" r:id="rId82" xr:uid="{1022B486-B74E-48A4-8B6F-C0F48913357C}"/>
    <hyperlink ref="AC64" r:id="rId83" xr:uid="{6CCCB4E2-3979-4F64-8A3F-208A4AA5FDD4}"/>
    <hyperlink ref="AC65" r:id="rId84" xr:uid="{E2043C93-E537-4B1A-840B-E8062B52AF5E}"/>
    <hyperlink ref="AC60" r:id="rId85" xr:uid="{C78F26EE-713A-4E4A-8FC3-C83879F0E779}"/>
    <hyperlink ref="AC34" r:id="rId86" xr:uid="{B24D7C84-4A7F-470D-B6D1-860F53569018}"/>
    <hyperlink ref="AC35" r:id="rId87" xr:uid="{4F190B47-A6ED-4FF5-812D-08533CD1A679}"/>
    <hyperlink ref="AC36" r:id="rId88" xr:uid="{688BDCB9-5AB2-4C75-9552-B777910C5124}"/>
    <hyperlink ref="AC46" r:id="rId89" display="url" xr:uid="{3FA38DC4-CC2E-409B-B893-09DA8C87D6DD}"/>
    <hyperlink ref="AC108" r:id="rId90" xr:uid="{8D405697-7667-4420-84D8-6CC76D0BE29D}"/>
  </hyperlinks>
  <pageMargins left="0.7" right="0.7" top="0.75" bottom="0.75" header="0.3" footer="0.3"/>
  <pageSetup orientation="portrait" horizontalDpi="0" verticalDpi="0" r:id="rId91"/>
  <tableParts count="3">
    <tablePart r:id="rId92"/>
    <tablePart r:id="rId93"/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E736-CE15-4B27-A95D-7EAAE2ED9236}">
  <dimension ref="A1:G10"/>
  <sheetViews>
    <sheetView workbookViewId="0">
      <selection activeCell="C22" sqref="C22"/>
    </sheetView>
  </sheetViews>
  <sheetFormatPr defaultRowHeight="15"/>
  <cols>
    <col min="1" max="1" width="5" bestFit="1" customWidth="1"/>
    <col min="2" max="2" width="13.140625" bestFit="1" customWidth="1"/>
    <col min="3" max="3" width="47.28515625" bestFit="1" customWidth="1"/>
    <col min="4" max="4" width="11" bestFit="1" customWidth="1"/>
    <col min="5" max="5" width="23.7109375" bestFit="1" customWidth="1"/>
    <col min="6" max="6" width="17.7109375" bestFit="1" customWidth="1"/>
    <col min="7" max="7" width="11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196</v>
      </c>
      <c r="C2" t="s">
        <v>197</v>
      </c>
      <c r="D2">
        <v>1</v>
      </c>
      <c r="E2" t="s">
        <v>198</v>
      </c>
      <c r="F2" t="s">
        <v>11</v>
      </c>
      <c r="G2" t="s">
        <v>11</v>
      </c>
    </row>
    <row r="3" spans="1:7">
      <c r="A3">
        <v>2</v>
      </c>
      <c r="B3" t="s">
        <v>199</v>
      </c>
      <c r="C3" t="s">
        <v>13</v>
      </c>
      <c r="D3">
        <v>3</v>
      </c>
      <c r="E3" t="s">
        <v>94</v>
      </c>
      <c r="F3" t="s">
        <v>11</v>
      </c>
      <c r="G3" t="s">
        <v>11</v>
      </c>
    </row>
    <row r="4" spans="1:7">
      <c r="A4">
        <v>3</v>
      </c>
      <c r="B4" t="s">
        <v>200</v>
      </c>
      <c r="C4" t="s">
        <v>201</v>
      </c>
      <c r="D4">
        <v>1</v>
      </c>
      <c r="E4" t="s">
        <v>202</v>
      </c>
      <c r="F4" t="s">
        <v>11</v>
      </c>
      <c r="G4" t="s">
        <v>11</v>
      </c>
    </row>
    <row r="5" spans="1:7">
      <c r="A5">
        <v>4</v>
      </c>
      <c r="B5" t="s">
        <v>90</v>
      </c>
      <c r="C5" t="s">
        <v>203</v>
      </c>
      <c r="D5">
        <v>1</v>
      </c>
      <c r="E5" t="s">
        <v>204</v>
      </c>
      <c r="F5" t="s">
        <v>11</v>
      </c>
      <c r="G5" t="s">
        <v>11</v>
      </c>
    </row>
    <row r="6" spans="1:7">
      <c r="A6">
        <v>5</v>
      </c>
      <c r="B6" t="s">
        <v>205</v>
      </c>
      <c r="C6" t="s">
        <v>21</v>
      </c>
      <c r="D6">
        <v>1</v>
      </c>
      <c r="E6" t="s">
        <v>17</v>
      </c>
      <c r="F6" t="s">
        <v>11</v>
      </c>
      <c r="G6" t="s">
        <v>11</v>
      </c>
    </row>
    <row r="7" spans="1:7">
      <c r="A7">
        <v>6</v>
      </c>
      <c r="B7" t="s">
        <v>114</v>
      </c>
      <c r="C7" t="s">
        <v>201</v>
      </c>
      <c r="D7">
        <v>1</v>
      </c>
      <c r="E7" t="s">
        <v>206</v>
      </c>
      <c r="F7" t="s">
        <v>11</v>
      </c>
      <c r="G7" t="s">
        <v>11</v>
      </c>
    </row>
    <row r="8" spans="1:7">
      <c r="A8">
        <v>7</v>
      </c>
      <c r="B8" t="s">
        <v>207</v>
      </c>
      <c r="C8" t="s">
        <v>13</v>
      </c>
      <c r="D8">
        <v>1</v>
      </c>
      <c r="E8" t="s">
        <v>14</v>
      </c>
      <c r="F8" t="s">
        <v>11</v>
      </c>
      <c r="G8" t="s">
        <v>11</v>
      </c>
    </row>
    <row r="9" spans="1:7">
      <c r="A9">
        <v>8</v>
      </c>
      <c r="B9" t="s">
        <v>15</v>
      </c>
      <c r="C9" t="s">
        <v>21</v>
      </c>
      <c r="D9">
        <v>1</v>
      </c>
      <c r="E9" t="s">
        <v>22</v>
      </c>
      <c r="F9" t="s">
        <v>11</v>
      </c>
      <c r="G9" t="s">
        <v>11</v>
      </c>
    </row>
    <row r="10" spans="1:7">
      <c r="A10">
        <v>9</v>
      </c>
      <c r="B10" t="s">
        <v>39</v>
      </c>
      <c r="C10" t="s">
        <v>106</v>
      </c>
      <c r="D10">
        <v>1</v>
      </c>
      <c r="E10" t="s">
        <v>107</v>
      </c>
      <c r="F10" t="s">
        <v>11</v>
      </c>
      <c r="G10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8B18-3ADF-4ED9-89AE-A5127D4A0030}">
  <dimension ref="A1:U75"/>
  <sheetViews>
    <sheetView zoomScale="85" zoomScaleNormal="85" workbookViewId="0">
      <selection activeCell="U23" sqref="U23"/>
    </sheetView>
  </sheetViews>
  <sheetFormatPr defaultRowHeight="15"/>
  <cols>
    <col min="1" max="1" width="5" bestFit="1" customWidth="1"/>
    <col min="2" max="2" width="81.140625" bestFit="1" customWidth="1"/>
    <col min="3" max="3" width="54.5703125" bestFit="1" customWidth="1"/>
    <col min="4" max="4" width="11" bestFit="1" customWidth="1"/>
    <col min="5" max="5" width="28.28515625" bestFit="1" customWidth="1"/>
    <col min="6" max="6" width="17.7109375" bestFit="1" customWidth="1"/>
    <col min="7" max="7" width="11.42578125" bestFit="1" customWidth="1"/>
    <col min="8" max="8" width="18.42578125" bestFit="1" customWidth="1"/>
    <col min="9" max="9" width="5.140625" bestFit="1" customWidth="1"/>
    <col min="10" max="11" width="12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185</v>
      </c>
      <c r="I1" t="s">
        <v>7</v>
      </c>
      <c r="J1" t="s">
        <v>191</v>
      </c>
      <c r="K1" t="s">
        <v>192</v>
      </c>
      <c r="L1" t="s">
        <v>193</v>
      </c>
    </row>
    <row r="2" spans="1:12">
      <c r="A2">
        <v>17</v>
      </c>
      <c r="B2" t="s">
        <v>48</v>
      </c>
      <c r="C2" t="s">
        <v>49</v>
      </c>
      <c r="D2">
        <v>1</v>
      </c>
      <c r="E2" t="s">
        <v>50</v>
      </c>
      <c r="F2" t="s">
        <v>11</v>
      </c>
      <c r="G2" t="s">
        <v>11</v>
      </c>
      <c r="H2">
        <f>2*Artnet_DMX_Converter[[#This Row],[Quantity]]</f>
        <v>2</v>
      </c>
      <c r="I2" t="s">
        <v>11</v>
      </c>
      <c r="J2" t="s">
        <v>186</v>
      </c>
    </row>
    <row r="3" spans="1:12">
      <c r="A3">
        <v>6</v>
      </c>
      <c r="B3" t="s">
        <v>23</v>
      </c>
      <c r="C3" t="s">
        <v>16</v>
      </c>
      <c r="D3">
        <v>12</v>
      </c>
      <c r="E3" t="s">
        <v>22</v>
      </c>
      <c r="F3" t="s">
        <v>11</v>
      </c>
      <c r="G3" t="s">
        <v>11</v>
      </c>
      <c r="H3">
        <f>2*Artnet_DMX_Converter[[#This Row],[Quantity]]</f>
        <v>24</v>
      </c>
      <c r="I3" t="s">
        <v>11</v>
      </c>
      <c r="J3" t="s">
        <v>186</v>
      </c>
    </row>
    <row r="4" spans="1:12">
      <c r="A4">
        <v>37</v>
      </c>
      <c r="B4" t="s">
        <v>101</v>
      </c>
      <c r="C4" t="s">
        <v>16</v>
      </c>
      <c r="D4">
        <v>2</v>
      </c>
      <c r="E4" t="s">
        <v>102</v>
      </c>
      <c r="F4" t="s">
        <v>11</v>
      </c>
      <c r="G4" t="s">
        <v>11</v>
      </c>
      <c r="H4">
        <f>2*Artnet_DMX_Converter[[#This Row],[Quantity]]</f>
        <v>4</v>
      </c>
      <c r="I4" t="s">
        <v>11</v>
      </c>
      <c r="J4" t="s">
        <v>186</v>
      </c>
    </row>
    <row r="5" spans="1:12">
      <c r="A5">
        <v>3</v>
      </c>
      <c r="B5" t="s">
        <v>189</v>
      </c>
      <c r="C5" t="s">
        <v>16</v>
      </c>
      <c r="D5">
        <v>4</v>
      </c>
      <c r="E5" t="s">
        <v>17</v>
      </c>
      <c r="F5" t="s">
        <v>11</v>
      </c>
      <c r="G5" t="s">
        <v>11</v>
      </c>
      <c r="H5">
        <f>2*Artnet_DMX_Converter[[#This Row],[Quantity]]</f>
        <v>8</v>
      </c>
      <c r="I5" t="s">
        <v>11</v>
      </c>
      <c r="J5" t="s">
        <v>186</v>
      </c>
    </row>
    <row r="6" spans="1:12">
      <c r="A6">
        <v>9</v>
      </c>
      <c r="B6" t="s">
        <v>29</v>
      </c>
      <c r="C6" t="s">
        <v>21</v>
      </c>
      <c r="D6">
        <v>5</v>
      </c>
      <c r="E6" t="s">
        <v>30</v>
      </c>
      <c r="F6" t="s">
        <v>11</v>
      </c>
      <c r="G6" t="s">
        <v>11</v>
      </c>
      <c r="H6">
        <f>2*Artnet_DMX_Converter[[#This Row],[Quantity]]</f>
        <v>10</v>
      </c>
      <c r="I6" t="s">
        <v>11</v>
      </c>
      <c r="J6" t="s">
        <v>186</v>
      </c>
    </row>
    <row r="7" spans="1:12">
      <c r="A7">
        <v>15</v>
      </c>
      <c r="B7" t="s">
        <v>43</v>
      </c>
      <c r="C7" t="s">
        <v>21</v>
      </c>
      <c r="D7">
        <v>12</v>
      </c>
      <c r="E7" t="s">
        <v>44</v>
      </c>
      <c r="F7" t="s">
        <v>11</v>
      </c>
      <c r="G7" t="s">
        <v>11</v>
      </c>
      <c r="H7">
        <f>2*Artnet_DMX_Converter[[#This Row],[Quantity]]</f>
        <v>24</v>
      </c>
      <c r="I7" t="s">
        <v>11</v>
      </c>
      <c r="J7" t="s">
        <v>186</v>
      </c>
    </row>
    <row r="8" spans="1:12">
      <c r="A8">
        <v>5</v>
      </c>
      <c r="B8" t="s">
        <v>20</v>
      </c>
      <c r="C8" t="s">
        <v>21</v>
      </c>
      <c r="D8">
        <v>29</v>
      </c>
      <c r="E8" t="s">
        <v>22</v>
      </c>
      <c r="F8" t="s">
        <v>11</v>
      </c>
      <c r="G8" t="s">
        <v>11</v>
      </c>
      <c r="H8">
        <f>2*Artnet_DMX_Converter[[#This Row],[Quantity]]</f>
        <v>58</v>
      </c>
      <c r="I8" t="s">
        <v>11</v>
      </c>
      <c r="J8" t="s">
        <v>186</v>
      </c>
    </row>
    <row r="9" spans="1:12">
      <c r="A9">
        <v>63</v>
      </c>
      <c r="B9" t="s">
        <v>158</v>
      </c>
      <c r="C9" t="s">
        <v>159</v>
      </c>
      <c r="D9">
        <v>2</v>
      </c>
      <c r="E9" t="s">
        <v>140</v>
      </c>
      <c r="F9" t="s">
        <v>11</v>
      </c>
      <c r="G9" t="s">
        <v>11</v>
      </c>
      <c r="H9">
        <f>2*Artnet_DMX_Converter[[#This Row],[Quantity]]</f>
        <v>4</v>
      </c>
      <c r="I9" t="s">
        <v>11</v>
      </c>
      <c r="J9" t="s">
        <v>186</v>
      </c>
    </row>
    <row r="10" spans="1:12">
      <c r="A10">
        <v>50</v>
      </c>
      <c r="B10" t="s">
        <v>131</v>
      </c>
      <c r="C10" t="s">
        <v>21</v>
      </c>
      <c r="D10">
        <v>2</v>
      </c>
      <c r="E10" t="s">
        <v>132</v>
      </c>
      <c r="F10" t="s">
        <v>11</v>
      </c>
      <c r="G10" t="s">
        <v>11</v>
      </c>
      <c r="H10">
        <f>2*Artnet_DMX_Converter[[#This Row],[Quantity]]</f>
        <v>4</v>
      </c>
      <c r="I10" t="s">
        <v>11</v>
      </c>
      <c r="J10" t="s">
        <v>186</v>
      </c>
    </row>
    <row r="11" spans="1:12">
      <c r="A11">
        <v>8</v>
      </c>
      <c r="B11" t="s">
        <v>27</v>
      </c>
      <c r="C11" t="s">
        <v>21</v>
      </c>
      <c r="D11">
        <v>2</v>
      </c>
      <c r="E11" t="s">
        <v>28</v>
      </c>
      <c r="F11" t="s">
        <v>11</v>
      </c>
      <c r="G11" t="s">
        <v>11</v>
      </c>
      <c r="H11">
        <f>2*Artnet_DMX_Converter[[#This Row],[Quantity]]</f>
        <v>4</v>
      </c>
      <c r="I11" t="s">
        <v>11</v>
      </c>
      <c r="J11" t="s">
        <v>186</v>
      </c>
    </row>
    <row r="12" spans="1:12">
      <c r="A12">
        <v>41</v>
      </c>
      <c r="B12" t="s">
        <v>110</v>
      </c>
      <c r="C12" t="s">
        <v>111</v>
      </c>
      <c r="D12">
        <v>3</v>
      </c>
      <c r="E12" t="s">
        <v>32</v>
      </c>
      <c r="F12" t="s">
        <v>11</v>
      </c>
      <c r="G12" t="s">
        <v>11</v>
      </c>
      <c r="H12">
        <f>2*Artnet_DMX_Converter[[#This Row],[Quantity]]</f>
        <v>6</v>
      </c>
      <c r="I12" t="s">
        <v>11</v>
      </c>
      <c r="J12" t="s">
        <v>186</v>
      </c>
    </row>
    <row r="13" spans="1:12">
      <c r="A13">
        <v>57</v>
      </c>
      <c r="B13" t="s">
        <v>148</v>
      </c>
      <c r="C13" t="s">
        <v>149</v>
      </c>
      <c r="D13">
        <v>1</v>
      </c>
      <c r="E13" t="s">
        <v>140</v>
      </c>
      <c r="F13" t="s">
        <v>11</v>
      </c>
      <c r="G13" t="s">
        <v>11</v>
      </c>
      <c r="H13">
        <f>2*Artnet_DMX_Converter[[#This Row],[Quantity]]</f>
        <v>2</v>
      </c>
      <c r="I13" t="s">
        <v>11</v>
      </c>
      <c r="J13" t="s">
        <v>186</v>
      </c>
    </row>
    <row r="14" spans="1:12">
      <c r="A14">
        <v>69</v>
      </c>
      <c r="B14" t="s">
        <v>170</v>
      </c>
      <c r="C14" t="s">
        <v>21</v>
      </c>
      <c r="D14">
        <v>1</v>
      </c>
      <c r="E14" t="s">
        <v>171</v>
      </c>
      <c r="F14" t="s">
        <v>11</v>
      </c>
      <c r="G14" t="s">
        <v>11</v>
      </c>
      <c r="H14">
        <f>2*Artnet_DMX_Converter[[#This Row],[Quantity]]</f>
        <v>2</v>
      </c>
      <c r="I14" t="s">
        <v>11</v>
      </c>
      <c r="J14" t="s">
        <v>186</v>
      </c>
    </row>
    <row r="15" spans="1:12">
      <c r="A15">
        <v>44</v>
      </c>
      <c r="B15" t="s">
        <v>117</v>
      </c>
      <c r="C15" t="s">
        <v>118</v>
      </c>
      <c r="D15">
        <v>1</v>
      </c>
      <c r="E15" t="s">
        <v>119</v>
      </c>
      <c r="F15" t="s">
        <v>11</v>
      </c>
      <c r="G15" t="s">
        <v>11</v>
      </c>
      <c r="H15">
        <f>2*Artnet_DMX_Converter[[#This Row],[Quantity]]</f>
        <v>2</v>
      </c>
      <c r="I15" t="s">
        <v>11</v>
      </c>
      <c r="J15" t="s">
        <v>186</v>
      </c>
    </row>
    <row r="16" spans="1:12">
      <c r="A16">
        <v>52</v>
      </c>
      <c r="B16" t="s">
        <v>136</v>
      </c>
      <c r="C16" t="s">
        <v>137</v>
      </c>
      <c r="D16">
        <v>1</v>
      </c>
      <c r="E16" t="s">
        <v>138</v>
      </c>
      <c r="F16" t="s">
        <v>11</v>
      </c>
      <c r="G16" t="s">
        <v>11</v>
      </c>
      <c r="H16">
        <f>2*Artnet_DMX_Converter[[#This Row],[Quantity]]</f>
        <v>2</v>
      </c>
      <c r="I16" t="s">
        <v>11</v>
      </c>
      <c r="J16" t="s">
        <v>186</v>
      </c>
    </row>
    <row r="17" spans="1:12">
      <c r="A17">
        <v>14</v>
      </c>
      <c r="B17" t="s">
        <v>42</v>
      </c>
      <c r="C17" t="s">
        <v>21</v>
      </c>
      <c r="D17">
        <v>1</v>
      </c>
      <c r="E17" t="s">
        <v>17</v>
      </c>
      <c r="F17" t="s">
        <v>11</v>
      </c>
      <c r="G17" t="s">
        <v>11</v>
      </c>
      <c r="H17">
        <f>2*Artnet_DMX_Converter[[#This Row],[Quantity]]</f>
        <v>2</v>
      </c>
      <c r="I17" t="s">
        <v>11</v>
      </c>
      <c r="J17" t="s">
        <v>186</v>
      </c>
    </row>
    <row r="18" spans="1:12">
      <c r="A18">
        <v>20</v>
      </c>
      <c r="B18" t="s">
        <v>56</v>
      </c>
      <c r="C18" t="s">
        <v>21</v>
      </c>
      <c r="D18">
        <v>1</v>
      </c>
      <c r="E18" t="s">
        <v>57</v>
      </c>
      <c r="F18" t="s">
        <v>11</v>
      </c>
      <c r="G18" t="s">
        <v>11</v>
      </c>
      <c r="H18">
        <f>2*Artnet_DMX_Converter[[#This Row],[Quantity]]</f>
        <v>2</v>
      </c>
      <c r="I18" t="s">
        <v>11</v>
      </c>
      <c r="J18" t="s">
        <v>186</v>
      </c>
    </row>
    <row r="19" spans="1:12">
      <c r="A19">
        <v>42</v>
      </c>
      <c r="B19" t="s">
        <v>112</v>
      </c>
      <c r="C19" t="s">
        <v>21</v>
      </c>
      <c r="D19">
        <v>1</v>
      </c>
      <c r="E19" t="s">
        <v>113</v>
      </c>
      <c r="F19" t="s">
        <v>11</v>
      </c>
      <c r="G19" t="s">
        <v>11</v>
      </c>
      <c r="H19">
        <f>2*Artnet_DMX_Converter[[#This Row],[Quantity]]</f>
        <v>2</v>
      </c>
      <c r="I19" t="s">
        <v>11</v>
      </c>
      <c r="J19" t="s">
        <v>186</v>
      </c>
    </row>
    <row r="20" spans="1:12">
      <c r="A20">
        <v>10</v>
      </c>
      <c r="B20" t="s">
        <v>31</v>
      </c>
      <c r="C20" t="s">
        <v>21</v>
      </c>
      <c r="D20">
        <v>2</v>
      </c>
      <c r="E20" t="s">
        <v>32</v>
      </c>
      <c r="F20" t="s">
        <v>11</v>
      </c>
      <c r="G20" t="s">
        <v>11</v>
      </c>
      <c r="H20">
        <f>2*Artnet_DMX_Converter[[#This Row],[Quantity]]</f>
        <v>4</v>
      </c>
      <c r="I20" t="s">
        <v>11</v>
      </c>
      <c r="J20" t="s">
        <v>186</v>
      </c>
    </row>
    <row r="21" spans="1:12">
      <c r="A21">
        <v>53</v>
      </c>
      <c r="B21" t="s">
        <v>139</v>
      </c>
      <c r="C21" t="s">
        <v>21</v>
      </c>
      <c r="D21">
        <v>5</v>
      </c>
      <c r="E21" t="s">
        <v>140</v>
      </c>
      <c r="F21" t="s">
        <v>11</v>
      </c>
      <c r="G21" t="s">
        <v>11</v>
      </c>
      <c r="H21">
        <f>2*Artnet_DMX_Converter[[#This Row],[Quantity]]</f>
        <v>10</v>
      </c>
      <c r="I21" t="s">
        <v>11</v>
      </c>
      <c r="J21" t="s">
        <v>186</v>
      </c>
    </row>
    <row r="22" spans="1:12">
      <c r="A22">
        <v>58</v>
      </c>
      <c r="B22" t="s">
        <v>150</v>
      </c>
      <c r="C22" t="s">
        <v>21</v>
      </c>
      <c r="D22">
        <v>1</v>
      </c>
      <c r="E22" t="s">
        <v>84</v>
      </c>
      <c r="F22" t="s">
        <v>11</v>
      </c>
      <c r="G22" t="s">
        <v>11</v>
      </c>
      <c r="H22">
        <f>2*Artnet_DMX_Converter[[#This Row],[Quantity]]</f>
        <v>2</v>
      </c>
      <c r="I22" t="s">
        <v>11</v>
      </c>
      <c r="J22" t="s">
        <v>186</v>
      </c>
    </row>
    <row r="23" spans="1:12">
      <c r="A23">
        <v>32</v>
      </c>
      <c r="B23" t="s">
        <v>88</v>
      </c>
      <c r="C23" t="s">
        <v>78</v>
      </c>
      <c r="D23">
        <v>1</v>
      </c>
      <c r="E23" t="s">
        <v>89</v>
      </c>
      <c r="F23" t="s">
        <v>11</v>
      </c>
      <c r="G23" t="s">
        <v>11</v>
      </c>
      <c r="H23">
        <f>2*Artnet_DMX_Converter[[#This Row],[Quantity]]</f>
        <v>2</v>
      </c>
      <c r="I23" t="s">
        <v>11</v>
      </c>
      <c r="J23" t="s">
        <v>186</v>
      </c>
    </row>
    <row r="24" spans="1:12">
      <c r="A24">
        <v>56</v>
      </c>
      <c r="B24" t="s">
        <v>145</v>
      </c>
      <c r="C24" t="s">
        <v>146</v>
      </c>
      <c r="D24">
        <v>1</v>
      </c>
      <c r="E24" t="s">
        <v>147</v>
      </c>
      <c r="F24" t="s">
        <v>11</v>
      </c>
      <c r="G24" t="s">
        <v>11</v>
      </c>
      <c r="H24">
        <f>2*Artnet_DMX_Converter[[#This Row],[Quantity]]</f>
        <v>2</v>
      </c>
      <c r="I24" t="s">
        <v>11</v>
      </c>
      <c r="J24" t="s">
        <v>186</v>
      </c>
    </row>
    <row r="25" spans="1:12">
      <c r="A25">
        <v>49</v>
      </c>
      <c r="B25" t="s">
        <v>128</v>
      </c>
      <c r="C25" t="s">
        <v>129</v>
      </c>
      <c r="D25">
        <v>1</v>
      </c>
      <c r="E25" t="s">
        <v>130</v>
      </c>
      <c r="F25" t="s">
        <v>11</v>
      </c>
      <c r="G25" t="s">
        <v>11</v>
      </c>
      <c r="H25">
        <f>2*Artnet_DMX_Converter[[#This Row],[Quantity]]</f>
        <v>2</v>
      </c>
      <c r="I25" t="s">
        <v>11</v>
      </c>
      <c r="J25" t="s">
        <v>186</v>
      </c>
    </row>
    <row r="26" spans="1:12">
      <c r="A26">
        <v>66</v>
      </c>
      <c r="B26" t="s">
        <v>164</v>
      </c>
      <c r="C26" t="s">
        <v>78</v>
      </c>
      <c r="D26">
        <v>1</v>
      </c>
      <c r="E26" t="s">
        <v>165</v>
      </c>
      <c r="F26" t="s">
        <v>11</v>
      </c>
      <c r="G26" t="s">
        <v>11</v>
      </c>
      <c r="H26">
        <f>2*Artnet_DMX_Converter[[#This Row],[Quantity]]</f>
        <v>2</v>
      </c>
      <c r="I26" t="s">
        <v>11</v>
      </c>
      <c r="J26" t="s">
        <v>186</v>
      </c>
    </row>
    <row r="27" spans="1:12">
      <c r="A27">
        <v>11</v>
      </c>
      <c r="B27" t="s">
        <v>33</v>
      </c>
      <c r="C27" t="s">
        <v>34</v>
      </c>
      <c r="D27">
        <v>1</v>
      </c>
      <c r="E27" t="s">
        <v>35</v>
      </c>
      <c r="F27" t="s">
        <v>11</v>
      </c>
      <c r="G27" t="s">
        <v>11</v>
      </c>
      <c r="H27">
        <f>2*Artnet_DMX_Converter[[#This Row],[Quantity]]</f>
        <v>2</v>
      </c>
      <c r="I27" t="s">
        <v>11</v>
      </c>
      <c r="J27" t="s">
        <v>186</v>
      </c>
    </row>
    <row r="28" spans="1:12">
      <c r="A28">
        <v>28</v>
      </c>
      <c r="B28" t="s">
        <v>77</v>
      </c>
      <c r="C28" t="s">
        <v>78</v>
      </c>
      <c r="D28">
        <v>8</v>
      </c>
      <c r="E28" t="s">
        <v>79</v>
      </c>
      <c r="F28" t="s">
        <v>11</v>
      </c>
      <c r="G28" t="s">
        <v>11</v>
      </c>
      <c r="H28">
        <f>2*Artnet_DMX_Converter[[#This Row],[Quantity]]</f>
        <v>16</v>
      </c>
      <c r="I28" t="s">
        <v>11</v>
      </c>
      <c r="J28" t="s">
        <v>186</v>
      </c>
    </row>
    <row r="29" spans="1:12">
      <c r="A29">
        <v>62</v>
      </c>
      <c r="B29" t="s">
        <v>155</v>
      </c>
      <c r="C29" t="s">
        <v>156</v>
      </c>
      <c r="D29">
        <v>1</v>
      </c>
      <c r="E29" t="s">
        <v>157</v>
      </c>
      <c r="F29" t="s">
        <v>11</v>
      </c>
      <c r="G29" t="s">
        <v>11</v>
      </c>
      <c r="H29">
        <f>2*Artnet_DMX_Converter[[#This Row],[Quantity]]</f>
        <v>2</v>
      </c>
      <c r="I29" t="s">
        <v>11</v>
      </c>
      <c r="K29" t="s">
        <v>186</v>
      </c>
      <c r="L29" t="s">
        <v>186</v>
      </c>
    </row>
    <row r="30" spans="1:12">
      <c r="A30">
        <v>33</v>
      </c>
      <c r="B30" t="s">
        <v>90</v>
      </c>
      <c r="C30" t="s">
        <v>91</v>
      </c>
      <c r="D30">
        <v>1</v>
      </c>
      <c r="E30" t="s">
        <v>92</v>
      </c>
      <c r="F30" t="s">
        <v>11</v>
      </c>
      <c r="G30" t="s">
        <v>11</v>
      </c>
      <c r="H30">
        <f>2*Artnet_DMX_Converter[[#This Row],[Quantity]]</f>
        <v>2</v>
      </c>
      <c r="I30" t="s">
        <v>11</v>
      </c>
      <c r="J30" t="s">
        <v>186</v>
      </c>
    </row>
    <row r="31" spans="1:12">
      <c r="A31">
        <v>39</v>
      </c>
      <c r="B31" t="s">
        <v>105</v>
      </c>
      <c r="C31" t="s">
        <v>106</v>
      </c>
      <c r="D31">
        <v>1</v>
      </c>
      <c r="E31" t="s">
        <v>107</v>
      </c>
      <c r="F31" t="s">
        <v>11</v>
      </c>
      <c r="G31" t="s">
        <v>11</v>
      </c>
      <c r="H31">
        <f>2*Artnet_DMX_Converter[[#This Row],[Quantity]]</f>
        <v>2</v>
      </c>
      <c r="I31" t="s">
        <v>11</v>
      </c>
      <c r="J31" t="s">
        <v>186</v>
      </c>
    </row>
    <row r="32" spans="1:12">
      <c r="A32">
        <v>51</v>
      </c>
      <c r="B32" t="s">
        <v>133</v>
      </c>
      <c r="C32" t="s">
        <v>134</v>
      </c>
      <c r="D32">
        <v>1</v>
      </c>
      <c r="E32" t="s">
        <v>135</v>
      </c>
      <c r="F32" t="s">
        <v>11</v>
      </c>
      <c r="G32" t="s">
        <v>11</v>
      </c>
      <c r="H32">
        <f>2*Artnet_DMX_Converter[[#This Row],[Quantity]]</f>
        <v>2</v>
      </c>
      <c r="I32" t="s">
        <v>11</v>
      </c>
      <c r="J32" t="s">
        <v>186</v>
      </c>
    </row>
    <row r="33" spans="1:12">
      <c r="A33">
        <v>13</v>
      </c>
      <c r="B33" t="s">
        <v>39</v>
      </c>
      <c r="C33" t="s">
        <v>40</v>
      </c>
      <c r="D33">
        <v>1</v>
      </c>
      <c r="E33" t="s">
        <v>41</v>
      </c>
      <c r="F33" t="s">
        <v>11</v>
      </c>
      <c r="G33" t="s">
        <v>11</v>
      </c>
      <c r="H33">
        <f>2*Artnet_DMX_Converter[[#This Row],[Quantity]]</f>
        <v>2</v>
      </c>
      <c r="I33" t="s">
        <v>11</v>
      </c>
      <c r="J33" t="s">
        <v>186</v>
      </c>
    </row>
    <row r="34" spans="1:12">
      <c r="A34">
        <v>1</v>
      </c>
      <c r="B34" t="s">
        <v>8</v>
      </c>
      <c r="C34" t="s">
        <v>9</v>
      </c>
      <c r="D34">
        <v>1</v>
      </c>
      <c r="E34" t="s">
        <v>10</v>
      </c>
      <c r="F34" t="s">
        <v>11</v>
      </c>
      <c r="G34" t="s">
        <v>11</v>
      </c>
      <c r="H34">
        <f>2*Artnet_DMX_Converter[[#This Row],[Quantity]]</f>
        <v>2</v>
      </c>
      <c r="I34" t="s">
        <v>11</v>
      </c>
      <c r="K34" t="s">
        <v>186</v>
      </c>
      <c r="L34" t="s">
        <v>186</v>
      </c>
    </row>
    <row r="35" spans="1:12">
      <c r="A35">
        <v>12</v>
      </c>
      <c r="B35" t="s">
        <v>36</v>
      </c>
      <c r="C35" t="s">
        <v>37</v>
      </c>
      <c r="D35">
        <v>4</v>
      </c>
      <c r="E35" t="s">
        <v>38</v>
      </c>
      <c r="F35" t="s">
        <v>11</v>
      </c>
      <c r="G35" t="s">
        <v>11</v>
      </c>
      <c r="H35">
        <f>2*Artnet_DMX_Converter[[#This Row],[Quantity]]</f>
        <v>8</v>
      </c>
      <c r="I35" t="s">
        <v>11</v>
      </c>
      <c r="K35" t="s">
        <v>186</v>
      </c>
      <c r="L35" t="s">
        <v>186</v>
      </c>
    </row>
    <row r="36" spans="1:12">
      <c r="A36">
        <v>47</v>
      </c>
      <c r="B36" t="s">
        <v>123</v>
      </c>
      <c r="C36" t="s">
        <v>124</v>
      </c>
      <c r="D36">
        <v>4</v>
      </c>
      <c r="E36" t="s">
        <v>125</v>
      </c>
      <c r="F36" t="s">
        <v>11</v>
      </c>
      <c r="G36" t="s">
        <v>11</v>
      </c>
      <c r="H36">
        <f>2*Artnet_DMX_Converter[[#This Row],[Quantity]]</f>
        <v>8</v>
      </c>
      <c r="I36" t="s">
        <v>11</v>
      </c>
      <c r="K36" t="s">
        <v>186</v>
      </c>
      <c r="L36" t="s">
        <v>186</v>
      </c>
    </row>
    <row r="37" spans="1:12">
      <c r="A37">
        <v>21</v>
      </c>
      <c r="B37" t="s">
        <v>58</v>
      </c>
      <c r="C37" t="s">
        <v>59</v>
      </c>
      <c r="D37">
        <v>1</v>
      </c>
      <c r="E37" t="s">
        <v>60</v>
      </c>
      <c r="F37" t="s">
        <v>11</v>
      </c>
      <c r="G37" t="s">
        <v>11</v>
      </c>
      <c r="H37">
        <f>2*Artnet_DMX_Converter[[#This Row],[Quantity]]</f>
        <v>2</v>
      </c>
      <c r="I37" t="s">
        <v>11</v>
      </c>
      <c r="J37" t="s">
        <v>186</v>
      </c>
    </row>
    <row r="38" spans="1:12">
      <c r="A38">
        <v>48</v>
      </c>
      <c r="B38" t="s">
        <v>126</v>
      </c>
      <c r="C38" t="s">
        <v>127</v>
      </c>
      <c r="D38">
        <v>1</v>
      </c>
      <c r="E38" t="s">
        <v>32</v>
      </c>
      <c r="F38" t="s">
        <v>11</v>
      </c>
      <c r="G38" t="s">
        <v>11</v>
      </c>
      <c r="H38">
        <f>2*Artnet_DMX_Converter[[#This Row],[Quantity]]</f>
        <v>2</v>
      </c>
      <c r="I38" t="s">
        <v>11</v>
      </c>
      <c r="J38" t="s">
        <v>186</v>
      </c>
    </row>
    <row r="39" spans="1:12">
      <c r="A39">
        <v>22</v>
      </c>
      <c r="B39" t="s">
        <v>61</v>
      </c>
      <c r="C39" t="s">
        <v>62</v>
      </c>
      <c r="D39">
        <v>1</v>
      </c>
      <c r="E39" t="s">
        <v>63</v>
      </c>
      <c r="F39" t="s">
        <v>11</v>
      </c>
      <c r="G39" t="s">
        <v>11</v>
      </c>
      <c r="H39">
        <f>2*Artnet_DMX_Converter[[#This Row],[Quantity]]</f>
        <v>2</v>
      </c>
      <c r="I39" t="s">
        <v>11</v>
      </c>
      <c r="J39" t="s">
        <v>186</v>
      </c>
    </row>
    <row r="40" spans="1:12">
      <c r="A40">
        <v>30</v>
      </c>
      <c r="B40" t="s">
        <v>82</v>
      </c>
      <c r="C40" t="s">
        <v>83</v>
      </c>
      <c r="D40">
        <v>2</v>
      </c>
      <c r="E40" t="s">
        <v>84</v>
      </c>
      <c r="F40" t="s">
        <v>11</v>
      </c>
      <c r="G40" t="s">
        <v>11</v>
      </c>
      <c r="H40">
        <f>2*Artnet_DMX_Converter[[#This Row],[Quantity]]</f>
        <v>4</v>
      </c>
      <c r="I40" t="s">
        <v>11</v>
      </c>
      <c r="J40" t="s">
        <v>186</v>
      </c>
    </row>
    <row r="41" spans="1:12">
      <c r="A41">
        <v>16</v>
      </c>
      <c r="B41" t="s">
        <v>45</v>
      </c>
      <c r="C41" t="s">
        <v>46</v>
      </c>
      <c r="D41">
        <v>10</v>
      </c>
      <c r="E41" t="s">
        <v>47</v>
      </c>
      <c r="F41" t="s">
        <v>11</v>
      </c>
      <c r="G41" t="s">
        <v>11</v>
      </c>
      <c r="H41">
        <f>2*Artnet_DMX_Converter[[#This Row],[Quantity]]</f>
        <v>20</v>
      </c>
      <c r="I41" t="s">
        <v>11</v>
      </c>
      <c r="J41" t="s">
        <v>186</v>
      </c>
    </row>
    <row r="42" spans="1:12">
      <c r="A42">
        <v>29</v>
      </c>
      <c r="B42" t="s">
        <v>80</v>
      </c>
      <c r="C42" t="s">
        <v>13</v>
      </c>
      <c r="D42">
        <v>3</v>
      </c>
      <c r="E42" t="s">
        <v>81</v>
      </c>
      <c r="F42" t="s">
        <v>11</v>
      </c>
      <c r="G42" t="s">
        <v>11</v>
      </c>
      <c r="H42">
        <f>2*Artnet_DMX_Converter[[#This Row],[Quantity]]</f>
        <v>6</v>
      </c>
      <c r="I42" t="s">
        <v>11</v>
      </c>
      <c r="J42" t="s">
        <v>186</v>
      </c>
    </row>
    <row r="43" spans="1:12">
      <c r="A43">
        <v>34</v>
      </c>
      <c r="B43" t="s">
        <v>93</v>
      </c>
      <c r="C43" t="s">
        <v>13</v>
      </c>
      <c r="D43">
        <v>4</v>
      </c>
      <c r="E43" t="s">
        <v>94</v>
      </c>
      <c r="F43" t="s">
        <v>11</v>
      </c>
      <c r="G43" t="s">
        <v>11</v>
      </c>
      <c r="H43">
        <f>2*Artnet_DMX_Converter[[#This Row],[Quantity]]</f>
        <v>8</v>
      </c>
      <c r="I43" t="s">
        <v>11</v>
      </c>
      <c r="J43" t="s">
        <v>186</v>
      </c>
    </row>
    <row r="44" spans="1:12">
      <c r="A44">
        <v>19</v>
      </c>
      <c r="B44" t="s">
        <v>54</v>
      </c>
      <c r="C44" t="s">
        <v>13</v>
      </c>
      <c r="D44">
        <v>4</v>
      </c>
      <c r="E44" t="s">
        <v>55</v>
      </c>
      <c r="F44" t="s">
        <v>11</v>
      </c>
      <c r="G44" t="s">
        <v>11</v>
      </c>
      <c r="H44">
        <f>2*Artnet_DMX_Converter[[#This Row],[Quantity]]</f>
        <v>8</v>
      </c>
      <c r="I44" t="s">
        <v>11</v>
      </c>
      <c r="J44" t="s">
        <v>186</v>
      </c>
    </row>
    <row r="45" spans="1:12">
      <c r="A45">
        <v>38</v>
      </c>
      <c r="B45" t="s">
        <v>103</v>
      </c>
      <c r="C45" t="s">
        <v>13</v>
      </c>
      <c r="D45">
        <v>1</v>
      </c>
      <c r="E45" t="s">
        <v>104</v>
      </c>
      <c r="F45" t="s">
        <v>11</v>
      </c>
      <c r="G45" t="s">
        <v>11</v>
      </c>
      <c r="H45">
        <f>2*Artnet_DMX_Converter[[#This Row],[Quantity]]</f>
        <v>2</v>
      </c>
      <c r="I45" t="s">
        <v>11</v>
      </c>
      <c r="J45" t="s">
        <v>186</v>
      </c>
    </row>
    <row r="46" spans="1:12">
      <c r="A46">
        <v>2</v>
      </c>
      <c r="B46" t="s">
        <v>12</v>
      </c>
      <c r="C46" t="s">
        <v>13</v>
      </c>
      <c r="D46">
        <v>1</v>
      </c>
      <c r="E46" t="s">
        <v>14</v>
      </c>
      <c r="F46" t="s">
        <v>11</v>
      </c>
      <c r="G46" t="s">
        <v>11</v>
      </c>
      <c r="H46">
        <f>2*Artnet_DMX_Converter[[#This Row],[Quantity]]</f>
        <v>2</v>
      </c>
      <c r="I46" t="s">
        <v>11</v>
      </c>
      <c r="J46" t="s">
        <v>186</v>
      </c>
    </row>
    <row r="47" spans="1:12">
      <c r="A47">
        <v>72</v>
      </c>
      <c r="B47" t="s">
        <v>178</v>
      </c>
      <c r="C47" t="s">
        <v>13</v>
      </c>
      <c r="D47">
        <v>1</v>
      </c>
      <c r="E47" t="s">
        <v>179</v>
      </c>
      <c r="F47" t="s">
        <v>11</v>
      </c>
      <c r="G47" t="s">
        <v>11</v>
      </c>
      <c r="H47">
        <f>2*Artnet_DMX_Converter[[#This Row],[Quantity]]</f>
        <v>2</v>
      </c>
      <c r="I47" t="s">
        <v>11</v>
      </c>
      <c r="J47" t="s">
        <v>186</v>
      </c>
    </row>
    <row r="48" spans="1:12">
      <c r="A48">
        <v>54</v>
      </c>
      <c r="B48" t="s">
        <v>141</v>
      </c>
      <c r="C48" t="s">
        <v>25</v>
      </c>
      <c r="D48">
        <v>1</v>
      </c>
      <c r="E48" t="s">
        <v>55</v>
      </c>
      <c r="F48" t="s">
        <v>11</v>
      </c>
      <c r="G48" t="s">
        <v>11</v>
      </c>
      <c r="H48">
        <f>2*Artnet_DMX_Converter[[#This Row],[Quantity]]</f>
        <v>2</v>
      </c>
      <c r="I48" t="s">
        <v>11</v>
      </c>
      <c r="J48" t="s">
        <v>186</v>
      </c>
    </row>
    <row r="49" spans="1:12">
      <c r="A49">
        <v>73</v>
      </c>
      <c r="B49" t="s">
        <v>180</v>
      </c>
      <c r="C49" t="s">
        <v>13</v>
      </c>
      <c r="D49">
        <v>1</v>
      </c>
      <c r="E49" t="s">
        <v>181</v>
      </c>
      <c r="F49" t="s">
        <v>11</v>
      </c>
      <c r="G49" t="s">
        <v>11</v>
      </c>
      <c r="H49">
        <f>2*Artnet_DMX_Converter[[#This Row],[Quantity]]</f>
        <v>2</v>
      </c>
      <c r="I49" t="s">
        <v>11</v>
      </c>
      <c r="J49" t="s">
        <v>186</v>
      </c>
    </row>
    <row r="50" spans="1:12">
      <c r="A50">
        <v>24</v>
      </c>
      <c r="B50" t="s">
        <v>67</v>
      </c>
      <c r="C50" t="s">
        <v>13</v>
      </c>
      <c r="D50">
        <v>1</v>
      </c>
      <c r="E50" t="s">
        <v>68</v>
      </c>
      <c r="F50" t="s">
        <v>11</v>
      </c>
      <c r="G50" t="s">
        <v>11</v>
      </c>
      <c r="H50">
        <f>2*Artnet_DMX_Converter[[#This Row],[Quantity]]</f>
        <v>2</v>
      </c>
      <c r="I50" t="s">
        <v>11</v>
      </c>
      <c r="J50" t="s">
        <v>186</v>
      </c>
    </row>
    <row r="51" spans="1:12">
      <c r="A51">
        <v>46</v>
      </c>
      <c r="B51" t="s">
        <v>190</v>
      </c>
      <c r="C51" t="s">
        <v>13</v>
      </c>
      <c r="D51">
        <v>5</v>
      </c>
      <c r="E51" t="s">
        <v>122</v>
      </c>
      <c r="F51" t="s">
        <v>11</v>
      </c>
      <c r="G51" t="s">
        <v>11</v>
      </c>
      <c r="H51">
        <f>2*Artnet_DMX_Converter[[#This Row],[Quantity]]</f>
        <v>10</v>
      </c>
      <c r="I51" t="s">
        <v>11</v>
      </c>
      <c r="J51" t="s">
        <v>186</v>
      </c>
    </row>
    <row r="52" spans="1:12">
      <c r="A52">
        <v>55</v>
      </c>
      <c r="B52" t="s">
        <v>143</v>
      </c>
      <c r="C52" t="s">
        <v>13</v>
      </c>
      <c r="D52">
        <v>1</v>
      </c>
      <c r="E52" t="s">
        <v>144</v>
      </c>
      <c r="F52" t="s">
        <v>11</v>
      </c>
      <c r="G52" t="s">
        <v>11</v>
      </c>
      <c r="H52">
        <f>2*Artnet_DMX_Converter[[#This Row],[Quantity]]</f>
        <v>2</v>
      </c>
      <c r="I52" t="s">
        <v>11</v>
      </c>
      <c r="J52" t="s">
        <v>186</v>
      </c>
    </row>
    <row r="53" spans="1:12">
      <c r="A53">
        <v>68</v>
      </c>
      <c r="B53" t="s">
        <v>168</v>
      </c>
      <c r="C53" t="s">
        <v>13</v>
      </c>
      <c r="D53">
        <v>1</v>
      </c>
      <c r="E53" t="s">
        <v>169</v>
      </c>
      <c r="F53" t="s">
        <v>11</v>
      </c>
      <c r="G53" t="s">
        <v>11</v>
      </c>
      <c r="H53">
        <f>2*Artnet_DMX_Converter[[#This Row],[Quantity]]</f>
        <v>2</v>
      </c>
      <c r="I53" t="s">
        <v>11</v>
      </c>
      <c r="J53" t="s">
        <v>186</v>
      </c>
    </row>
    <row r="54" spans="1:12">
      <c r="A54">
        <v>67</v>
      </c>
      <c r="B54" t="s">
        <v>166</v>
      </c>
      <c r="C54" t="s">
        <v>13</v>
      </c>
      <c r="D54">
        <v>1</v>
      </c>
      <c r="E54" t="s">
        <v>167</v>
      </c>
      <c r="F54" t="s">
        <v>11</v>
      </c>
      <c r="G54" t="s">
        <v>11</v>
      </c>
      <c r="H54">
        <f>2*Artnet_DMX_Converter[[#This Row],[Quantity]]</f>
        <v>2</v>
      </c>
      <c r="I54" t="s">
        <v>11</v>
      </c>
      <c r="J54" t="s">
        <v>186</v>
      </c>
    </row>
    <row r="55" spans="1:12">
      <c r="A55">
        <v>4</v>
      </c>
      <c r="B55" t="s">
        <v>18</v>
      </c>
      <c r="C55" t="s">
        <v>13</v>
      </c>
      <c r="D55">
        <v>8</v>
      </c>
      <c r="E55" t="s">
        <v>19</v>
      </c>
      <c r="F55" t="s">
        <v>11</v>
      </c>
      <c r="G55" t="s">
        <v>11</v>
      </c>
      <c r="H55">
        <f>2*Artnet_DMX_Converter[[#This Row],[Quantity]]</f>
        <v>16</v>
      </c>
      <c r="I55" t="s">
        <v>11</v>
      </c>
      <c r="J55" t="s">
        <v>186</v>
      </c>
    </row>
    <row r="56" spans="1:12">
      <c r="A56">
        <v>26</v>
      </c>
      <c r="B56" t="s">
        <v>72</v>
      </c>
      <c r="C56" t="s">
        <v>13</v>
      </c>
      <c r="D56">
        <v>4</v>
      </c>
      <c r="E56" t="s">
        <v>73</v>
      </c>
      <c r="F56" t="s">
        <v>11</v>
      </c>
      <c r="G56" t="s">
        <v>11</v>
      </c>
      <c r="H56">
        <f>2*Artnet_DMX_Converter[[#This Row],[Quantity]]</f>
        <v>8</v>
      </c>
      <c r="I56" t="s">
        <v>11</v>
      </c>
      <c r="J56" t="s">
        <v>186</v>
      </c>
    </row>
    <row r="57" spans="1:12">
      <c r="A57">
        <v>61</v>
      </c>
      <c r="B57" t="s">
        <v>188</v>
      </c>
      <c r="C57" t="s">
        <v>13</v>
      </c>
      <c r="D57">
        <v>1</v>
      </c>
      <c r="E57" t="s">
        <v>142</v>
      </c>
      <c r="F57" t="s">
        <v>11</v>
      </c>
      <c r="G57" t="s">
        <v>11</v>
      </c>
      <c r="H57">
        <f>2*Artnet_DMX_Converter[[#This Row],[Quantity]]</f>
        <v>2</v>
      </c>
      <c r="I57" t="s">
        <v>11</v>
      </c>
      <c r="J57" t="s">
        <v>186</v>
      </c>
    </row>
    <row r="58" spans="1:12">
      <c r="A58">
        <v>7</v>
      </c>
      <c r="B58" t="s">
        <v>24</v>
      </c>
      <c r="C58" t="s">
        <v>25</v>
      </c>
      <c r="D58">
        <v>2</v>
      </c>
      <c r="E58" t="s">
        <v>26</v>
      </c>
      <c r="F58" t="s">
        <v>11</v>
      </c>
      <c r="G58" t="s">
        <v>11</v>
      </c>
      <c r="H58">
        <f>2*Artnet_DMX_Converter[[#This Row],[Quantity]]</f>
        <v>4</v>
      </c>
      <c r="I58" t="s">
        <v>11</v>
      </c>
      <c r="J58" t="s">
        <v>186</v>
      </c>
    </row>
    <row r="59" spans="1:12">
      <c r="A59">
        <v>64</v>
      </c>
      <c r="B59" t="s">
        <v>160</v>
      </c>
      <c r="C59" t="s">
        <v>25</v>
      </c>
      <c r="D59">
        <v>1</v>
      </c>
      <c r="E59" t="s">
        <v>81</v>
      </c>
      <c r="F59" t="s">
        <v>11</v>
      </c>
      <c r="G59" t="s">
        <v>11</v>
      </c>
      <c r="H59">
        <f>2*Artnet_DMX_Converter[[#This Row],[Quantity]]</f>
        <v>2</v>
      </c>
      <c r="I59" t="s">
        <v>11</v>
      </c>
      <c r="J59" t="s">
        <v>186</v>
      </c>
    </row>
    <row r="60" spans="1:12">
      <c r="A60">
        <v>45</v>
      </c>
      <c r="B60" t="s">
        <v>120</v>
      </c>
      <c r="C60" t="s">
        <v>121</v>
      </c>
      <c r="D60">
        <v>3</v>
      </c>
      <c r="E60" t="s">
        <v>121</v>
      </c>
      <c r="F60" t="s">
        <v>11</v>
      </c>
      <c r="G60" t="s">
        <v>11</v>
      </c>
      <c r="H60">
        <f>2*Artnet_DMX_Converter[[#This Row],[Quantity]]</f>
        <v>6</v>
      </c>
      <c r="I60" t="s">
        <v>11</v>
      </c>
      <c r="K60" t="s">
        <v>186</v>
      </c>
      <c r="L60" t="s">
        <v>195</v>
      </c>
    </row>
    <row r="61" spans="1:12">
      <c r="A61">
        <v>36</v>
      </c>
      <c r="B61" t="s">
        <v>98</v>
      </c>
      <c r="C61" t="s">
        <v>99</v>
      </c>
      <c r="D61">
        <v>2</v>
      </c>
      <c r="E61" t="s">
        <v>100</v>
      </c>
      <c r="F61" t="s">
        <v>11</v>
      </c>
      <c r="G61" t="s">
        <v>11</v>
      </c>
      <c r="H61">
        <f>2*Artnet_DMX_Converter[[#This Row],[Quantity]]</f>
        <v>4</v>
      </c>
      <c r="I61" t="s">
        <v>11</v>
      </c>
      <c r="J61" t="s">
        <v>186</v>
      </c>
    </row>
    <row r="62" spans="1:12">
      <c r="A62">
        <v>59</v>
      </c>
      <c r="B62" t="s">
        <v>151</v>
      </c>
      <c r="C62" t="s">
        <v>99</v>
      </c>
      <c r="D62">
        <v>1</v>
      </c>
      <c r="E62" t="s">
        <v>94</v>
      </c>
      <c r="F62" t="s">
        <v>11</v>
      </c>
      <c r="G62" t="s">
        <v>11</v>
      </c>
      <c r="H62">
        <f>2*Artnet_DMX_Converter[[#This Row],[Quantity]]</f>
        <v>2</v>
      </c>
      <c r="I62" t="s">
        <v>11</v>
      </c>
      <c r="J62" t="s">
        <v>186</v>
      </c>
    </row>
    <row r="63" spans="1:12">
      <c r="A63">
        <v>18</v>
      </c>
      <c r="B63" t="s">
        <v>51</v>
      </c>
      <c r="C63" t="s">
        <v>52</v>
      </c>
      <c r="D63">
        <v>2</v>
      </c>
      <c r="E63" t="s">
        <v>53</v>
      </c>
      <c r="F63" t="s">
        <v>11</v>
      </c>
      <c r="G63" t="s">
        <v>11</v>
      </c>
      <c r="H63">
        <f>2*Artnet_DMX_Converter[[#This Row],[Quantity]]</f>
        <v>4</v>
      </c>
      <c r="I63" t="s">
        <v>11</v>
      </c>
      <c r="J63" t="s">
        <v>186</v>
      </c>
    </row>
    <row r="64" spans="1:12">
      <c r="A64">
        <v>65</v>
      </c>
      <c r="B64" t="s">
        <v>161</v>
      </c>
      <c r="C64" t="s">
        <v>162</v>
      </c>
      <c r="D64">
        <v>1</v>
      </c>
      <c r="E64" t="s">
        <v>163</v>
      </c>
      <c r="F64" t="s">
        <v>11</v>
      </c>
      <c r="G64" t="s">
        <v>11</v>
      </c>
      <c r="H64">
        <f>2*Artnet_DMX_Converter[[#This Row],[Quantity]]</f>
        <v>2</v>
      </c>
      <c r="I64" t="s">
        <v>11</v>
      </c>
      <c r="K64" t="s">
        <v>186</v>
      </c>
      <c r="L64" t="s">
        <v>195</v>
      </c>
    </row>
    <row r="65" spans="1:21">
      <c r="A65">
        <v>43</v>
      </c>
      <c r="B65" t="s">
        <v>114</v>
      </c>
      <c r="C65" t="s">
        <v>115</v>
      </c>
      <c r="D65">
        <v>1</v>
      </c>
      <c r="E65" t="s">
        <v>116</v>
      </c>
      <c r="F65" t="s">
        <v>11</v>
      </c>
      <c r="G65" t="s">
        <v>11</v>
      </c>
      <c r="H65">
        <f>2*Artnet_DMX_Converter[[#This Row],[Quantity]]</f>
        <v>2</v>
      </c>
      <c r="I65" t="s">
        <v>11</v>
      </c>
      <c r="K65" t="s">
        <v>186</v>
      </c>
      <c r="L65" t="s">
        <v>195</v>
      </c>
    </row>
    <row r="66" spans="1:21">
      <c r="A66">
        <v>31</v>
      </c>
      <c r="B66" t="s">
        <v>85</v>
      </c>
      <c r="C66" t="s">
        <v>86</v>
      </c>
      <c r="D66">
        <v>4</v>
      </c>
      <c r="E66" t="s">
        <v>87</v>
      </c>
      <c r="F66" t="s">
        <v>11</v>
      </c>
      <c r="G66" t="s">
        <v>11</v>
      </c>
      <c r="H66">
        <f>2*Artnet_DMX_Converter[[#This Row],[Quantity]]</f>
        <v>8</v>
      </c>
      <c r="I66" t="s">
        <v>11</v>
      </c>
      <c r="J66" t="s">
        <v>186</v>
      </c>
    </row>
    <row r="67" spans="1:21">
      <c r="A67">
        <v>25</v>
      </c>
      <c r="B67" t="s">
        <v>69</v>
      </c>
      <c r="C67" t="s">
        <v>70</v>
      </c>
      <c r="D67">
        <v>1</v>
      </c>
      <c r="E67" t="s">
        <v>71</v>
      </c>
      <c r="F67" t="s">
        <v>11</v>
      </c>
      <c r="G67" t="s">
        <v>11</v>
      </c>
      <c r="H67">
        <f>2*Artnet_DMX_Converter[[#This Row],[Quantity]]</f>
        <v>2</v>
      </c>
      <c r="I67" t="s">
        <v>11</v>
      </c>
      <c r="J67" t="s">
        <v>186</v>
      </c>
    </row>
    <row r="68" spans="1:21">
      <c r="A68">
        <v>70</v>
      </c>
      <c r="B68" t="s">
        <v>172</v>
      </c>
      <c r="C68" t="s">
        <v>173</v>
      </c>
      <c r="D68">
        <v>1</v>
      </c>
      <c r="E68" t="s">
        <v>174</v>
      </c>
      <c r="F68" t="s">
        <v>11</v>
      </c>
      <c r="G68" t="s">
        <v>11</v>
      </c>
      <c r="H68">
        <f>2*Artnet_DMX_Converter[[#This Row],[Quantity]]</f>
        <v>2</v>
      </c>
      <c r="I68" t="s">
        <v>11</v>
      </c>
      <c r="J68" t="s">
        <v>186</v>
      </c>
    </row>
    <row r="69" spans="1:21">
      <c r="A69">
        <v>27</v>
      </c>
      <c r="B69" t="s">
        <v>74</v>
      </c>
      <c r="C69" t="s">
        <v>75</v>
      </c>
      <c r="D69">
        <v>1</v>
      </c>
      <c r="E69" t="s">
        <v>76</v>
      </c>
      <c r="F69" t="s">
        <v>11</v>
      </c>
      <c r="G69" t="s">
        <v>11</v>
      </c>
      <c r="H69">
        <f>2*Artnet_DMX_Converter[[#This Row],[Quantity]]</f>
        <v>2</v>
      </c>
      <c r="I69" t="s">
        <v>11</v>
      </c>
      <c r="J69" t="s">
        <v>186</v>
      </c>
    </row>
    <row r="70" spans="1:21">
      <c r="A70">
        <v>60</v>
      </c>
      <c r="B70" t="s">
        <v>152</v>
      </c>
      <c r="C70" t="s">
        <v>153</v>
      </c>
      <c r="D70">
        <v>1</v>
      </c>
      <c r="E70" t="s">
        <v>154</v>
      </c>
      <c r="F70" t="s">
        <v>11</v>
      </c>
      <c r="G70" t="s">
        <v>11</v>
      </c>
      <c r="H70">
        <f>2*Artnet_DMX_Converter[[#This Row],[Quantity]]</f>
        <v>2</v>
      </c>
      <c r="I70" t="s">
        <v>11</v>
      </c>
      <c r="J70" t="s">
        <v>186</v>
      </c>
    </row>
    <row r="71" spans="1:21">
      <c r="A71">
        <v>71</v>
      </c>
      <c r="B71" t="s">
        <v>175</v>
      </c>
      <c r="C71" t="s">
        <v>176</v>
      </c>
      <c r="D71">
        <v>1</v>
      </c>
      <c r="E71" t="s">
        <v>177</v>
      </c>
      <c r="F71" t="s">
        <v>11</v>
      </c>
      <c r="G71" t="s">
        <v>11</v>
      </c>
      <c r="H71">
        <f>2*Artnet_DMX_Converter[[#This Row],[Quantity]]</f>
        <v>2</v>
      </c>
      <c r="I71" t="s">
        <v>11</v>
      </c>
      <c r="K71" t="s">
        <v>186</v>
      </c>
    </row>
    <row r="72" spans="1:21">
      <c r="A72">
        <v>74</v>
      </c>
      <c r="B72" t="s">
        <v>182</v>
      </c>
      <c r="C72" t="s">
        <v>183</v>
      </c>
      <c r="D72">
        <v>1</v>
      </c>
      <c r="E72" t="s">
        <v>184</v>
      </c>
      <c r="F72" t="s">
        <v>11</v>
      </c>
      <c r="G72" t="s">
        <v>11</v>
      </c>
      <c r="H72">
        <f>2*Artnet_DMX_Converter[[#This Row],[Quantity]]</f>
        <v>2</v>
      </c>
      <c r="I72" t="s">
        <v>11</v>
      </c>
      <c r="J72" t="s">
        <v>186</v>
      </c>
    </row>
    <row r="73" spans="1:21">
      <c r="A73">
        <v>35</v>
      </c>
      <c r="B73" t="s">
        <v>95</v>
      </c>
      <c r="C73" t="s">
        <v>96</v>
      </c>
      <c r="D73">
        <v>1</v>
      </c>
      <c r="E73" t="s">
        <v>97</v>
      </c>
      <c r="F73" t="s">
        <v>11</v>
      </c>
      <c r="G73" t="s">
        <v>11</v>
      </c>
      <c r="H73">
        <f>2*Artnet_DMX_Converter[[#This Row],[Quantity]]</f>
        <v>2</v>
      </c>
      <c r="I73" t="s">
        <v>11</v>
      </c>
      <c r="J73" t="s">
        <v>186</v>
      </c>
    </row>
    <row r="74" spans="1:21">
      <c r="A74">
        <v>40</v>
      </c>
      <c r="B74" t="s">
        <v>108</v>
      </c>
      <c r="C74" t="s">
        <v>65</v>
      </c>
      <c r="D74">
        <v>1</v>
      </c>
      <c r="E74" t="s">
        <v>109</v>
      </c>
      <c r="F74" t="s">
        <v>11</v>
      </c>
      <c r="G74" t="s">
        <v>11</v>
      </c>
      <c r="H74">
        <f>2*Artnet_DMX_Converter[[#This Row],[Quantity]]</f>
        <v>2</v>
      </c>
      <c r="I74" t="s">
        <v>11</v>
      </c>
      <c r="J74" t="s">
        <v>186</v>
      </c>
    </row>
    <row r="75" spans="1:21">
      <c r="A75">
        <v>23</v>
      </c>
      <c r="B75" t="s">
        <v>64</v>
      </c>
      <c r="C75" t="s">
        <v>65</v>
      </c>
      <c r="D75">
        <v>1</v>
      </c>
      <c r="E75" t="s">
        <v>66</v>
      </c>
      <c r="F75" t="s">
        <v>11</v>
      </c>
      <c r="G75" t="s">
        <v>11</v>
      </c>
      <c r="H75">
        <f>2*Artnet_DMX_Converter[[#This Row],[Quantity]]</f>
        <v>2</v>
      </c>
      <c r="I75" t="s">
        <v>11</v>
      </c>
      <c r="J75" t="s">
        <v>186</v>
      </c>
      <c r="N75" t="s">
        <v>186</v>
      </c>
      <c r="O75" t="s">
        <v>186</v>
      </c>
      <c r="P75" t="s">
        <v>186</v>
      </c>
      <c r="Q75">
        <v>1</v>
      </c>
      <c r="R75" t="s">
        <v>194</v>
      </c>
      <c r="U75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057D-AF11-4F19-BC5C-A6313254F415}">
  <dimension ref="A1:H12"/>
  <sheetViews>
    <sheetView workbookViewId="0">
      <selection activeCell="D23" sqref="D23"/>
    </sheetView>
  </sheetViews>
  <sheetFormatPr defaultRowHeight="15"/>
  <cols>
    <col min="1" max="1" width="5" bestFit="1" customWidth="1"/>
    <col min="2" max="2" width="14.140625" bestFit="1" customWidth="1"/>
    <col min="3" max="3" width="44.7109375" bestFit="1" customWidth="1"/>
    <col min="4" max="4" width="11" bestFit="1" customWidth="1"/>
    <col min="5" max="5" width="20" bestFit="1" customWidth="1"/>
    <col min="6" max="6" width="17.7109375" bestFit="1" customWidth="1"/>
    <col min="7" max="7" width="11.42578125" bestFit="1" customWidth="1"/>
    <col min="8" max="8" width="5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208</v>
      </c>
      <c r="C2" t="s">
        <v>16</v>
      </c>
      <c r="D2">
        <v>5</v>
      </c>
      <c r="E2" t="s">
        <v>22</v>
      </c>
      <c r="F2" t="s">
        <v>11</v>
      </c>
      <c r="G2" t="s">
        <v>11</v>
      </c>
      <c r="H2" t="s">
        <v>11</v>
      </c>
    </row>
    <row r="3" spans="1:8">
      <c r="A3">
        <v>2</v>
      </c>
      <c r="B3" t="s">
        <v>209</v>
      </c>
      <c r="C3" t="s">
        <v>210</v>
      </c>
      <c r="D3">
        <v>2</v>
      </c>
      <c r="E3" t="s">
        <v>211</v>
      </c>
      <c r="F3" t="s">
        <v>11</v>
      </c>
      <c r="G3" t="s">
        <v>11</v>
      </c>
      <c r="H3" t="s">
        <v>11</v>
      </c>
    </row>
    <row r="4" spans="1:8">
      <c r="A4">
        <v>3</v>
      </c>
      <c r="B4" t="s">
        <v>58</v>
      </c>
      <c r="C4" t="s">
        <v>212</v>
      </c>
      <c r="D4">
        <v>1</v>
      </c>
      <c r="E4" t="s">
        <v>213</v>
      </c>
      <c r="F4" t="s">
        <v>11</v>
      </c>
      <c r="G4" t="s">
        <v>11</v>
      </c>
      <c r="H4" t="s">
        <v>11</v>
      </c>
    </row>
    <row r="5" spans="1:8">
      <c r="A5">
        <v>4</v>
      </c>
      <c r="B5" t="s">
        <v>207</v>
      </c>
      <c r="C5" t="s">
        <v>25</v>
      </c>
      <c r="D5">
        <v>1</v>
      </c>
      <c r="E5" t="s">
        <v>94</v>
      </c>
      <c r="F5" t="s">
        <v>11</v>
      </c>
      <c r="G5" t="s">
        <v>11</v>
      </c>
      <c r="H5" t="s">
        <v>11</v>
      </c>
    </row>
    <row r="6" spans="1:8">
      <c r="A6">
        <v>5</v>
      </c>
      <c r="B6" t="s">
        <v>214</v>
      </c>
      <c r="C6" t="s">
        <v>16</v>
      </c>
      <c r="D6">
        <v>2</v>
      </c>
      <c r="E6" t="s">
        <v>215</v>
      </c>
      <c r="F6" t="s">
        <v>11</v>
      </c>
      <c r="G6" t="s">
        <v>11</v>
      </c>
      <c r="H6" t="s">
        <v>11</v>
      </c>
    </row>
    <row r="7" spans="1:8">
      <c r="A7">
        <v>6</v>
      </c>
      <c r="B7" t="s">
        <v>205</v>
      </c>
      <c r="C7" t="s">
        <v>21</v>
      </c>
      <c r="D7">
        <v>1</v>
      </c>
      <c r="E7" t="s">
        <v>140</v>
      </c>
      <c r="F7" t="s">
        <v>11</v>
      </c>
      <c r="G7" t="s">
        <v>11</v>
      </c>
      <c r="H7" t="s">
        <v>11</v>
      </c>
    </row>
    <row r="8" spans="1:8">
      <c r="A8">
        <v>7</v>
      </c>
      <c r="B8" t="s">
        <v>216</v>
      </c>
      <c r="C8" t="s">
        <v>16</v>
      </c>
      <c r="D8">
        <v>2</v>
      </c>
      <c r="E8" t="s">
        <v>217</v>
      </c>
      <c r="F8" t="s">
        <v>11</v>
      </c>
      <c r="G8" t="s">
        <v>11</v>
      </c>
      <c r="H8" t="s">
        <v>11</v>
      </c>
    </row>
    <row r="9" spans="1:8">
      <c r="A9">
        <v>8</v>
      </c>
      <c r="B9" t="s">
        <v>114</v>
      </c>
      <c r="C9" t="s">
        <v>218</v>
      </c>
      <c r="D9">
        <v>1</v>
      </c>
      <c r="E9" t="s">
        <v>219</v>
      </c>
      <c r="F9" t="s">
        <v>11</v>
      </c>
      <c r="G9" t="s">
        <v>11</v>
      </c>
      <c r="H9" t="s">
        <v>11</v>
      </c>
    </row>
    <row r="10" spans="1:8">
      <c r="A10">
        <v>9</v>
      </c>
      <c r="B10" t="s">
        <v>90</v>
      </c>
      <c r="C10" t="s">
        <v>220</v>
      </c>
      <c r="D10">
        <v>1</v>
      </c>
      <c r="E10" t="s">
        <v>221</v>
      </c>
      <c r="F10" t="s">
        <v>11</v>
      </c>
      <c r="G10" t="s">
        <v>11</v>
      </c>
      <c r="H10" t="s">
        <v>11</v>
      </c>
    </row>
    <row r="11" spans="1:8">
      <c r="A11">
        <v>10</v>
      </c>
      <c r="B11" t="s">
        <v>108</v>
      </c>
      <c r="C11" t="s">
        <v>222</v>
      </c>
      <c r="D11">
        <v>1</v>
      </c>
      <c r="E11" t="s">
        <v>223</v>
      </c>
      <c r="F11" t="s">
        <v>11</v>
      </c>
      <c r="G11" t="s">
        <v>11</v>
      </c>
      <c r="H11" t="s">
        <v>11</v>
      </c>
    </row>
    <row r="12" spans="1:8">
      <c r="A12">
        <v>11</v>
      </c>
      <c r="B12" t="s">
        <v>39</v>
      </c>
      <c r="C12" t="s">
        <v>224</v>
      </c>
      <c r="D12">
        <v>1</v>
      </c>
      <c r="E12" t="s">
        <v>135</v>
      </c>
      <c r="F12" t="s">
        <v>11</v>
      </c>
      <c r="G12" t="s">
        <v>11</v>
      </c>
      <c r="H12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B4DBD-09AD-4EE4-A67F-23B9BC5411C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15030db-5b96-4a80-bef5-9bbf300e0d2e}" enabled="1" method="Standard" siteId="{9e9002aa-e50e-44b8-bb7a-021d211980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Display panel</vt:lpstr>
      <vt:lpstr>Artnet_DMX_Converter</vt:lpstr>
      <vt:lpstr>WIFI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Peijnenburg</dc:creator>
  <cp:lastModifiedBy>Simon Peijnenburg</cp:lastModifiedBy>
  <dcterms:created xsi:type="dcterms:W3CDTF">2026-02-20T18:38:42Z</dcterms:created>
  <dcterms:modified xsi:type="dcterms:W3CDTF">2026-03-03T12:05:15Z</dcterms:modified>
</cp:coreProperties>
</file>